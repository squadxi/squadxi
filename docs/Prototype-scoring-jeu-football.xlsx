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eck" sheetId="2" state="visible" r:id="rId4"/>
    <sheet name="Bareme" sheetId="3" state="visible" r:id="rId5"/>
    <sheet name="Simulateur" sheetId="4" state="visible" r:id="rId6"/>
    <sheet name="Seuils" sheetId="5" state="visible" r:id="rId7"/>
    <sheet name="Exemp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<sst xmlns="http://schemas.openxmlformats.org/spreadsheetml/2006/main" count="411" uniqueCount="218">
  <si>
    <t xml:space="preserve">Prototype de scoring — Jeu de cartes football roguelike</t>
  </si>
  <si>
    <t xml:space="preserve">But de ce fichier : valider que les mains marquent des points équilibrés AVANT de coder l'UI.</t>
  </si>
  <si>
    <t xml:space="preserve">Onglets :</t>
  </si>
  <si>
    <t xml:space="preserve">  1. Deck — les 65 cartes (5 Championnats x 13 Notes). Cases jaunes = à remplir par toi (Joueur, Nationalité).</t>
  </si>
  <si>
    <t xml:space="preserve">  2. Bareme — les valeurs Points/Mult de chaque type de main. Cases bleues = leviers d'équilibrage à ajuster.</t>
  </si>
  <si>
    <t xml:space="preserve">  3. Simulateur — choisis 5 ID de cartes (cases bleues/jaunes), le fichier détecte la main et calcule le score.</t>
  </si>
  <si>
    <t xml:space="preserve">  4. Seuils — les scores à battre par Journée/Match. Cases bleues = à ajuster.</t>
  </si>
  <si>
    <t xml:space="preserve">Convention couleurs : texte bleu = valeur à saisir/modifier, texte noir = formule (ne pas toucher), fond jaune = à compléter.</t>
  </si>
  <si>
    <t xml:space="preserve">Note : tant que la colonne Nationalité du Deck n'est pas remplie, le bonus Nationalité du Simulateur restera à 0 pour ces cartes (c'est voulu, pas un bug).</t>
  </si>
  <si>
    <t xml:space="preserve">⚠️ Rappel : les vrais noms de joueurs posent un risque de droit à l'image en cas de publication/monétisation — voir le GDD, section 9.</t>
  </si>
  <si>
    <t xml:space="preserve">ID</t>
  </si>
  <si>
    <t xml:space="preserve">Championnat</t>
  </si>
  <si>
    <t xml:space="preserve">Symbole</t>
  </si>
  <si>
    <t xml:space="preserve">Note</t>
  </si>
  <si>
    <t xml:space="preserve">Joueur</t>
  </si>
  <si>
    <t xml:space="preserve">Nationalite</t>
  </si>
  <si>
    <t xml:space="preserve">Premier League</t>
  </si>
  <si>
    <t xml:space="preserve">As</t>
  </si>
  <si>
    <t xml:space="preserve">Thierry Henry</t>
  </si>
  <si>
    <t xml:space="preserve">France</t>
  </si>
  <si>
    <t xml:space="preserve">Roi</t>
  </si>
  <si>
    <t xml:space="preserve">Cristiano Ronaldo</t>
  </si>
  <si>
    <t xml:space="preserve">Portugal</t>
  </si>
  <si>
    <t xml:space="preserve">Dame</t>
  </si>
  <si>
    <t xml:space="preserve">Steven Gerrard</t>
  </si>
  <si>
    <t xml:space="preserve">Angleterre</t>
  </si>
  <si>
    <t xml:space="preserve">Valet</t>
  </si>
  <si>
    <t xml:space="preserve">Frank Lampard</t>
  </si>
  <si>
    <t xml:space="preserve">10</t>
  </si>
  <si>
    <t xml:space="preserve">Didier Drogba</t>
  </si>
  <si>
    <t xml:space="preserve">Cote d'Ivoire</t>
  </si>
  <si>
    <t xml:space="preserve">9</t>
  </si>
  <si>
    <t xml:space="preserve">Sergio Aguero</t>
  </si>
  <si>
    <t xml:space="preserve">Argentine</t>
  </si>
  <si>
    <t xml:space="preserve">8</t>
  </si>
  <si>
    <t xml:space="preserve">Eric Cantona</t>
  </si>
  <si>
    <t xml:space="preserve">7</t>
  </si>
  <si>
    <t xml:space="preserve">Ryan Giggs</t>
  </si>
  <si>
    <t xml:space="preserve">Pays de Galles</t>
  </si>
  <si>
    <t xml:space="preserve">6</t>
  </si>
  <si>
    <t xml:space="preserve">Roy Keane</t>
  </si>
  <si>
    <t xml:space="preserve">Irlande</t>
  </si>
  <si>
    <t xml:space="preserve">5</t>
  </si>
  <si>
    <t xml:space="preserve">Peter Schmeichel</t>
  </si>
  <si>
    <t xml:space="preserve">Danemark</t>
  </si>
  <si>
    <t xml:space="preserve">4</t>
  </si>
  <si>
    <t xml:space="preserve">John Terry</t>
  </si>
  <si>
    <t xml:space="preserve">3</t>
  </si>
  <si>
    <t xml:space="preserve">Patrick Vieira</t>
  </si>
  <si>
    <t xml:space="preserve">2</t>
  </si>
  <si>
    <t xml:space="preserve">Robbie Fowler</t>
  </si>
  <si>
    <t xml:space="preserve">Liga</t>
  </si>
  <si>
    <t xml:space="preserve">Lionel Messi</t>
  </si>
  <si>
    <t xml:space="preserve">Alfredo Di Stefano</t>
  </si>
  <si>
    <t xml:space="preserve">Andres Iniesta</t>
  </si>
  <si>
    <t xml:space="preserve">Espagne</t>
  </si>
  <si>
    <t xml:space="preserve">Xavi Hernandez</t>
  </si>
  <si>
    <t xml:space="preserve">Ronaldinho</t>
  </si>
  <si>
    <t xml:space="preserve">Bresil</t>
  </si>
  <si>
    <t xml:space="preserve">Raul Gonzalez</t>
  </si>
  <si>
    <t xml:space="preserve">Iker Casillas</t>
  </si>
  <si>
    <t xml:space="preserve">Karim Benzema</t>
  </si>
  <si>
    <t xml:space="preserve">Sergio Ramos</t>
  </si>
  <si>
    <t xml:space="preserve">Luis Suarez</t>
  </si>
  <si>
    <t xml:space="preserve">Uruguay</t>
  </si>
  <si>
    <t xml:space="preserve">Carles Puyol</t>
  </si>
  <si>
    <t xml:space="preserve">Ronaldo Nazario</t>
  </si>
  <si>
    <t xml:space="preserve">Diego Forlan</t>
  </si>
  <si>
    <t xml:space="preserve">Serie A</t>
  </si>
  <si>
    <t xml:space="preserve">Diego Maradona</t>
  </si>
  <si>
    <t xml:space="preserve">Paolo Maldini</t>
  </si>
  <si>
    <t xml:space="preserve">Italie</t>
  </si>
  <si>
    <t xml:space="preserve">Andrea Pirlo</t>
  </si>
  <si>
    <t xml:space="preserve">Francesco Totti</t>
  </si>
  <si>
    <t xml:space="preserve">Alessandro Del Piero</t>
  </si>
  <si>
    <t xml:space="preserve">Roberto Baggio</t>
  </si>
  <si>
    <t xml:space="preserve">Zinedine Zidane</t>
  </si>
  <si>
    <t xml:space="preserve">Gianluigi Buffon</t>
  </si>
  <si>
    <t xml:space="preserve">Andriy Shevchenko</t>
  </si>
  <si>
    <t xml:space="preserve">Ukraine</t>
  </si>
  <si>
    <t xml:space="preserve">Alessandro Nesta</t>
  </si>
  <si>
    <t xml:space="preserve">Javier Zanetti</t>
  </si>
  <si>
    <t xml:space="preserve">Samuel Eto'o</t>
  </si>
  <si>
    <t xml:space="preserve">Cameroun</t>
  </si>
  <si>
    <t xml:space="preserve">Marco Materazzi</t>
  </si>
  <si>
    <t xml:space="preserve">Bundesliga</t>
  </si>
  <si>
    <t xml:space="preserve">Franz Beckenbauer</t>
  </si>
  <si>
    <t xml:space="preserve">Allemagne</t>
  </si>
  <si>
    <t xml:space="preserve">Gerd Muller</t>
  </si>
  <si>
    <t xml:space="preserve">Robert Lewandowski</t>
  </si>
  <si>
    <t xml:space="preserve">Pologne</t>
  </si>
  <si>
    <t xml:space="preserve">Manuel Neuer</t>
  </si>
  <si>
    <t xml:space="preserve">Karl-Heinz Rummenigge</t>
  </si>
  <si>
    <t xml:space="preserve">Lothar Matthaus</t>
  </si>
  <si>
    <t xml:space="preserve">Michael Ballack</t>
  </si>
  <si>
    <t xml:space="preserve">Arjen Robben</t>
  </si>
  <si>
    <t xml:space="preserve">Pays-Bas</t>
  </si>
  <si>
    <t xml:space="preserve">Franck Ribery</t>
  </si>
  <si>
    <t xml:space="preserve">Oliver Kahn</t>
  </si>
  <si>
    <t xml:space="preserve">Philipp Lahm</t>
  </si>
  <si>
    <t xml:space="preserve">Miroslav Klose</t>
  </si>
  <si>
    <t xml:space="preserve">Mario Gotze</t>
  </si>
  <si>
    <t xml:space="preserve">Ligue 1</t>
  </si>
  <si>
    <t xml:space="preserve">Kylian Mbappe</t>
  </si>
  <si>
    <t xml:space="preserve">Michel Platini</t>
  </si>
  <si>
    <t xml:space="preserve">Just Fontaine</t>
  </si>
  <si>
    <t xml:space="preserve">George Weah</t>
  </si>
  <si>
    <t xml:space="preserve">Liberia</t>
  </si>
  <si>
    <t xml:space="preserve">Neymar Jr</t>
  </si>
  <si>
    <t xml:space="preserve">Zlatan Ibrahimovic</t>
  </si>
  <si>
    <t xml:space="preserve">Suede</t>
  </si>
  <si>
    <t xml:space="preserve">Jean-Pierre Papin</t>
  </si>
  <si>
    <t xml:space="preserve">Rai</t>
  </si>
  <si>
    <t xml:space="preserve">Thiago Silva</t>
  </si>
  <si>
    <t xml:space="preserve">Marco Verratti</t>
  </si>
  <si>
    <t xml:space="preserve">Youri Djorkaeff</t>
  </si>
  <si>
    <t xml:space="preserve">David Ginola</t>
  </si>
  <si>
    <t xml:space="preserve">Mathieu Valbuena</t>
  </si>
  <si>
    <t xml:space="preserve">Nom Balatro</t>
  </si>
  <si>
    <t xml:space="preserve">Nom foot</t>
  </si>
  <si>
    <t xml:space="preserve">Condition</t>
  </si>
  <si>
    <t xml:space="preserve">Base Points</t>
  </si>
  <si>
    <t xml:space="preserve">Base Mult</t>
  </si>
  <si>
    <t xml:space="preserve">Carte haute</t>
  </si>
  <si>
    <t xml:space="preserve">Solo</t>
  </si>
  <si>
    <t xml:space="preserve">1 carte</t>
  </si>
  <si>
    <t xml:space="preserve">Paire</t>
  </si>
  <si>
    <t xml:space="preserve">Duo</t>
  </si>
  <si>
    <t xml:space="preserve">2 memes Note</t>
  </si>
  <si>
    <t xml:space="preserve">Double paire</t>
  </si>
  <si>
    <t xml:space="preserve">Double Duo</t>
  </si>
  <si>
    <t xml:space="preserve">2x2 memes Note</t>
  </si>
  <si>
    <t xml:space="preserve">Brelan</t>
  </si>
  <si>
    <t xml:space="preserve">Trio offensif</t>
  </si>
  <si>
    <t xml:space="preserve">3 memes Note</t>
  </si>
  <si>
    <t xml:space="preserve">Suite</t>
  </si>
  <si>
    <t xml:space="preserve">Enchainement</t>
  </si>
  <si>
    <t xml:space="preserve">5 Notes consecutives</t>
  </si>
  <si>
    <t xml:space="preserve">Couleur</t>
  </si>
  <si>
    <t xml:space="preserve">Alignement</t>
  </si>
  <si>
    <t xml:space="preserve">5 meme Championnat</t>
  </si>
  <si>
    <t xml:space="preserve">Full</t>
  </si>
  <si>
    <t xml:space="preserve">Trio + Duo</t>
  </si>
  <si>
    <t xml:space="preserve">Carre</t>
  </si>
  <si>
    <t xml:space="preserve">Carre magique</t>
  </si>
  <si>
    <t xml:space="preserve">4 memes Note</t>
  </si>
  <si>
    <t xml:space="preserve">(nouveau - 5 championnats)</t>
  </si>
  <si>
    <t xml:space="preserve">Cinq identique</t>
  </si>
  <si>
    <t xml:space="preserve">5 memes Note (5 championnats differents)</t>
  </si>
  <si>
    <t xml:space="preserve">Quinte flush</t>
  </si>
  <si>
    <t xml:space="preserve">Selection parfaite</t>
  </si>
  <si>
    <t xml:space="preserve">Enchainement + Alignement</t>
  </si>
  <si>
    <t xml:space="preserve">Quinte flush royale</t>
  </si>
  <si>
    <t xml:space="preserve">Onze de legende</t>
  </si>
  <si>
    <t xml:space="preserve">Selection parfaite avec As-Roi-Dame-Valet-10</t>
  </si>
  <si>
    <t xml:space="preserve">Leviers de bonus (couche Nationalite / combo double)</t>
  </si>
  <si>
    <t xml:space="preserve">Bonus mult par paire de meme Nationalite</t>
  </si>
  <si>
    <t xml:space="preserve">Bonus mult supplementaire par paire Championnat+Nationalite (combo double)</t>
  </si>
  <si>
    <t xml:space="preserve">SIMULATEUR DE MAIN — saisis 5 ID de cartes (voir onglet Deck)</t>
  </si>
  <si>
    <t xml:space="preserve">Slot 1</t>
  </si>
  <si>
    <t xml:space="preserve">Slot 2</t>
  </si>
  <si>
    <t xml:space="preserve">Slot 3</t>
  </si>
  <si>
    <t xml:space="preserve">Slot 4</t>
  </si>
  <si>
    <t xml:space="preserve">Slot 5</t>
  </si>
  <si>
    <t xml:space="preserve">ID carte (1-65)</t>
  </si>
  <si>
    <t xml:space="preserve">Note (2-14)</t>
  </si>
  <si>
    <t xml:space="preserve">Occurrences meme Note</t>
  </si>
  <si>
    <t xml:space="preserve">Occurrences meme Championnat</t>
  </si>
  <si>
    <t xml:space="preserve">DETECTION DE LA MAIN</t>
  </si>
  <si>
    <t xml:space="preserve">Nb de Notes en occurrence=2 (paires)</t>
  </si>
  <si>
    <t xml:space="preserve">Nb de Notes en occurrence=3</t>
  </si>
  <si>
    <t xml:space="preserve">Nb de Notes en occurrence=4</t>
  </si>
  <si>
    <t xml:space="preserve">Nb de Notes en occurrence=5 (Cinq identique)</t>
  </si>
  <si>
    <t xml:space="preserve">Nb de Notes en occurrence=1</t>
  </si>
  <si>
    <t xml:space="preserve">Alignement (5 meme Championnat) ?</t>
  </si>
  <si>
    <t xml:space="preserve">Enchainement (5 Notes consecutives) ?</t>
  </si>
  <si>
    <t xml:space="preserve">Top 5 exactes (As-Roi-Dame-Valet-10) ?</t>
  </si>
  <si>
    <t xml:space="preserve">TYPE DE MAIN DETECTE</t>
  </si>
  <si>
    <t xml:space="preserve">Points de base (Bareme)</t>
  </si>
  <si>
    <t xml:space="preserve">Mult de base (Bareme)</t>
  </si>
  <si>
    <t xml:space="preserve">Paires meme Nationalite (detail, hors cases vides)</t>
  </si>
  <si>
    <t xml:space="preserve">(suite)</t>
  </si>
  <si>
    <t xml:space="preserve">Nb de paires meme Nationalite</t>
  </si>
  <si>
    <t xml:space="preserve">Bonus mult Nationalite</t>
  </si>
  <si>
    <t xml:space="preserve">Paires Championnat+Nationalite identiques (detail)</t>
  </si>
  <si>
    <t xml:space="preserve">Nb de paires Championnat+Nationalite (combo double)</t>
  </si>
  <si>
    <t xml:space="preserve">Bonus mult combo double (Championnat+Nationalite)</t>
  </si>
  <si>
    <t xml:space="preserve">MULT FINAL</t>
  </si>
  <si>
    <t xml:space="preserve">SCORE FINAL (Points x Mult)</t>
  </si>
  <si>
    <t xml:space="preserve">Journee</t>
  </si>
  <si>
    <t xml:space="preserve">Match</t>
  </si>
  <si>
    <t xml:space="preserve">Seuil (score requis)</t>
  </si>
  <si>
    <t xml:space="preserve">Resultat vs Simulateur</t>
  </si>
  <si>
    <t xml:space="preserve">Match aller</t>
  </si>
  <si>
    <t xml:space="preserve">Match retour</t>
  </si>
  <si>
    <t xml:space="preserve">Grand Rival</t>
  </si>
  <si>
    <t xml:space="preserve">Note: seuils inspires de la progression Balatro, a ajuster librement (cases bleues).</t>
  </si>
  <si>
    <t xml:space="preserve">Main</t>
  </si>
  <si>
    <t xml:space="preserve">Joueurs utilises</t>
  </si>
  <si>
    <t xml:space="preserve">Points base</t>
  </si>
  <si>
    <t xml:space="preserve">Mult base</t>
  </si>
  <si>
    <t xml:space="preserve">Paires Nationalite</t>
  </si>
  <si>
    <t xml:space="preserve">Bonus Nat</t>
  </si>
  <si>
    <t xml:space="preserve">Paires Combo double</t>
  </si>
  <si>
    <t xml:space="preserve">Bonus Combo</t>
  </si>
  <si>
    <t xml:space="preserve">Mult final</t>
  </si>
  <si>
    <t xml:space="preserve">SCORE</t>
  </si>
  <si>
    <t xml:space="preserve">Eric Cantona, Jean-Pierre Papin, Lionel Messi, Manuel Neuer, Ronaldinho</t>
  </si>
  <si>
    <t xml:space="preserve">Sergio Aguero, Raul Gonzalez, Roberto Baggio, Oliver Kahn, Youri Djorkaeff</t>
  </si>
  <si>
    <t xml:space="preserve">Sergio Aguero, Raul Gonzalez, Roberto Baggio, Eric Cantona, Jean-Pierre Papin</t>
  </si>
  <si>
    <t xml:space="preserve">Alignement (combo double)</t>
  </si>
  <si>
    <t xml:space="preserve">Franz Beckenbauer, Robert Lewandowski, Karl-Heinz Rummenigge, Michael Ballack, Philipp Lahm</t>
  </si>
  <si>
    <t xml:space="preserve">Didier Drogba, Raul Gonzalez, Zinedine Zidane, Arjen Robben, Thiago Silva</t>
  </si>
  <si>
    <t xml:space="preserve">Ryan Giggs, Karim Benzema, Gianluigi Buffon, Arjen Robben, David Ginola</t>
  </si>
  <si>
    <t xml:space="preserve">Thierry Henry, Lionel Messi, Diego Maradona, Franz Beckenbauer, Kylian Mbappe</t>
  </si>
  <si>
    <t xml:space="preserve">Raul Gonzalez, Iker Casillas, Karim Benzema, Sergio Ramos, Luis Suarez</t>
  </si>
  <si>
    <t xml:space="preserve">Thierry Henry, Cristiano Ronaldo, Steven Gerrard, Frank Lampard, Didier Drogba</t>
  </si>
  <si>
    <t xml:space="preserve">Ces 9 exemples sont calcules (memes formules que l'onglet Simulateur) pour montrer l'echelle de score. Copie les ID dans le Simulateur pour verifier / explorer d'autres combinaisons.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</si>
</sst>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2" t="s">
        <v>2</v>
      </c>
    </row>
    <row r="6" customFormat="false" ht="26.25" hidden="false" customHeight="true" outlineLevel="0" collapsed="false">
      <c r="A6" s="3" t="s">
        <v>3</v>
      </c>
    </row>
    <row r="7" customFormat="false" ht="26.2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26.2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/>
    </row>
    <row r="13" customFormat="false" ht="26.2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/>
    </row>
    <row r="15" customFormat="false" ht="26.25" hidden="false" customHeight="true" outlineLevel="0" collapsed="false">
      <c r="A15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customFormat="false" ht="15" hidden="false" customHeight="true" outlineLevel="0" collapsed="false">
      <c r="A2" s="5" t="n">
        <v>1</v>
      </c>
      <c r="B2" s="5" t="s">
        <v>16</v>
      </c>
      <c r="C2" s="5" t="s">
        <v>17</v>
      </c>
      <c r="D2" s="5" t="n">
        <v>14</v>
      </c>
      <c r="E2" s="6" t="s">
        <v>18</v>
      </c>
      <c r="F2" s="6" t="s">
        <v>19</v>
      </c>
    </row>
    <row r="3" customFormat="false" ht="15" hidden="false" customHeight="true" outlineLevel="0" collapsed="false">
      <c r="A3" s="5" t="n">
        <v>2</v>
      </c>
      <c r="B3" s="5" t="s">
        <v>16</v>
      </c>
      <c r="C3" s="5" t="s">
        <v>20</v>
      </c>
      <c r="D3" s="5" t="n">
        <v>13</v>
      </c>
      <c r="E3" s="6" t="s">
        <v>21</v>
      </c>
      <c r="F3" s="6" t="s">
        <v>22</v>
      </c>
    </row>
    <row r="4" customFormat="false" ht="15" hidden="false" customHeight="true" outlineLevel="0" collapsed="false">
      <c r="A4" s="5" t="n">
        <v>3</v>
      </c>
      <c r="B4" s="5" t="s">
        <v>16</v>
      </c>
      <c r="C4" s="5" t="s">
        <v>23</v>
      </c>
      <c r="D4" s="5" t="n">
        <v>12</v>
      </c>
      <c r="E4" s="6" t="s">
        <v>24</v>
      </c>
      <c r="F4" s="6" t="s">
        <v>25</v>
      </c>
    </row>
    <row r="5" customFormat="false" ht="15" hidden="false" customHeight="true" outlineLevel="0" collapsed="false">
      <c r="A5" s="5" t="n">
        <v>4</v>
      </c>
      <c r="B5" s="5" t="s">
        <v>16</v>
      </c>
      <c r="C5" s="5" t="s">
        <v>26</v>
      </c>
      <c r="D5" s="5" t="n">
        <v>11</v>
      </c>
      <c r="E5" s="6" t="s">
        <v>27</v>
      </c>
      <c r="F5" s="6" t="s">
        <v>25</v>
      </c>
    </row>
    <row r="6" customFormat="false" ht="15" hidden="false" customHeight="true" outlineLevel="0" collapsed="false">
      <c r="A6" s="5" t="n">
        <v>5</v>
      </c>
      <c r="B6" s="5" t="s">
        <v>16</v>
      </c>
      <c r="C6" s="5" t="s">
        <v>28</v>
      </c>
      <c r="D6" s="5" t="n">
        <v>10</v>
      </c>
      <c r="E6" s="6" t="s">
        <v>29</v>
      </c>
      <c r="F6" s="6" t="s">
        <v>30</v>
      </c>
    </row>
    <row r="7" customFormat="false" ht="15" hidden="false" customHeight="true" outlineLevel="0" collapsed="false">
      <c r="A7" s="5" t="n">
        <v>6</v>
      </c>
      <c r="B7" s="5" t="s">
        <v>16</v>
      </c>
      <c r="C7" s="5" t="s">
        <v>31</v>
      </c>
      <c r="D7" s="5" t="n">
        <v>9</v>
      </c>
      <c r="E7" s="6" t="s">
        <v>32</v>
      </c>
      <c r="F7" s="6" t="s">
        <v>33</v>
      </c>
    </row>
    <row r="8" customFormat="false" ht="15" hidden="false" customHeight="true" outlineLevel="0" collapsed="false">
      <c r="A8" s="5" t="n">
        <v>7</v>
      </c>
      <c r="B8" s="5" t="s">
        <v>16</v>
      </c>
      <c r="C8" s="5" t="s">
        <v>34</v>
      </c>
      <c r="D8" s="5" t="n">
        <v>8</v>
      </c>
      <c r="E8" s="6" t="s">
        <v>35</v>
      </c>
      <c r="F8" s="6" t="s">
        <v>19</v>
      </c>
    </row>
    <row r="9" customFormat="false" ht="15" hidden="false" customHeight="true" outlineLevel="0" collapsed="false">
      <c r="A9" s="5" t="n">
        <v>8</v>
      </c>
      <c r="B9" s="5" t="s">
        <v>16</v>
      </c>
      <c r="C9" s="5" t="s">
        <v>36</v>
      </c>
      <c r="D9" s="5" t="n">
        <v>7</v>
      </c>
      <c r="E9" s="6" t="s">
        <v>37</v>
      </c>
      <c r="F9" s="6" t="s">
        <v>38</v>
      </c>
    </row>
    <row r="10" customFormat="false" ht="15" hidden="false" customHeight="true" outlineLevel="0" collapsed="false">
      <c r="A10" s="5" t="n">
        <v>9</v>
      </c>
      <c r="B10" s="5" t="s">
        <v>16</v>
      </c>
      <c r="C10" s="5" t="s">
        <v>39</v>
      </c>
      <c r="D10" s="5" t="n">
        <v>6</v>
      </c>
      <c r="E10" s="6" t="s">
        <v>40</v>
      </c>
      <c r="F10" s="6" t="s">
        <v>41</v>
      </c>
    </row>
    <row r="11" customFormat="false" ht="15" hidden="false" customHeight="true" outlineLevel="0" collapsed="false">
      <c r="A11" s="5" t="n">
        <v>10</v>
      </c>
      <c r="B11" s="5" t="s">
        <v>16</v>
      </c>
      <c r="C11" s="5" t="s">
        <v>42</v>
      </c>
      <c r="D11" s="5" t="n">
        <v>5</v>
      </c>
      <c r="E11" s="6" t="s">
        <v>43</v>
      </c>
      <c r="F11" s="6" t="s">
        <v>44</v>
      </c>
    </row>
    <row r="12" customFormat="false" ht="15" hidden="false" customHeight="true" outlineLevel="0" collapsed="false">
      <c r="A12" s="5" t="n">
        <v>11</v>
      </c>
      <c r="B12" s="5" t="s">
        <v>16</v>
      </c>
      <c r="C12" s="5" t="s">
        <v>45</v>
      </c>
      <c r="D12" s="5" t="n">
        <v>4</v>
      </c>
      <c r="E12" s="6" t="s">
        <v>46</v>
      </c>
      <c r="F12" s="6" t="s">
        <v>25</v>
      </c>
    </row>
    <row r="13" customFormat="false" ht="15" hidden="false" customHeight="true" outlineLevel="0" collapsed="false">
      <c r="A13" s="5" t="n">
        <v>12</v>
      </c>
      <c r="B13" s="5" t="s">
        <v>16</v>
      </c>
      <c r="C13" s="5" t="s">
        <v>47</v>
      </c>
      <c r="D13" s="5" t="n">
        <v>3</v>
      </c>
      <c r="E13" s="6" t="s">
        <v>48</v>
      </c>
      <c r="F13" s="6" t="s">
        <v>19</v>
      </c>
    </row>
    <row r="14" customFormat="false" ht="15" hidden="false" customHeight="true" outlineLevel="0" collapsed="false">
      <c r="A14" s="5" t="n">
        <v>13</v>
      </c>
      <c r="B14" s="5" t="s">
        <v>16</v>
      </c>
      <c r="C14" s="5" t="s">
        <v>49</v>
      </c>
      <c r="D14" s="5" t="n">
        <v>2</v>
      </c>
      <c r="E14" s="6" t="s">
        <v>50</v>
      </c>
      <c r="F14" s="6" t="s">
        <v>25</v>
      </c>
    </row>
    <row r="15" customFormat="false" ht="15" hidden="false" customHeight="true" outlineLevel="0" collapsed="false">
      <c r="A15" s="5" t="n">
        <v>14</v>
      </c>
      <c r="B15" s="5" t="s">
        <v>51</v>
      </c>
      <c r="C15" s="5" t="s">
        <v>17</v>
      </c>
      <c r="D15" s="5" t="n">
        <v>14</v>
      </c>
      <c r="E15" s="6" t="s">
        <v>52</v>
      </c>
      <c r="F15" s="6" t="s">
        <v>33</v>
      </c>
    </row>
    <row r="16" customFormat="false" ht="15" hidden="false" customHeight="true" outlineLevel="0" collapsed="false">
      <c r="A16" s="5" t="n">
        <v>15</v>
      </c>
      <c r="B16" s="5" t="s">
        <v>51</v>
      </c>
      <c r="C16" s="5" t="s">
        <v>20</v>
      </c>
      <c r="D16" s="5" t="n">
        <v>13</v>
      </c>
      <c r="E16" s="6" t="s">
        <v>53</v>
      </c>
      <c r="F16" s="6" t="s">
        <v>33</v>
      </c>
    </row>
    <row r="17" customFormat="false" ht="15" hidden="false" customHeight="true" outlineLevel="0" collapsed="false">
      <c r="A17" s="5" t="n">
        <v>16</v>
      </c>
      <c r="B17" s="5" t="s">
        <v>51</v>
      </c>
      <c r="C17" s="5" t="s">
        <v>23</v>
      </c>
      <c r="D17" s="5" t="n">
        <v>12</v>
      </c>
      <c r="E17" s="6" t="s">
        <v>54</v>
      </c>
      <c r="F17" s="6" t="s">
        <v>55</v>
      </c>
    </row>
    <row r="18" customFormat="false" ht="15" hidden="false" customHeight="true" outlineLevel="0" collapsed="false">
      <c r="A18" s="5" t="n">
        <v>17</v>
      </c>
      <c r="B18" s="5" t="s">
        <v>51</v>
      </c>
      <c r="C18" s="5" t="s">
        <v>26</v>
      </c>
      <c r="D18" s="5" t="n">
        <v>11</v>
      </c>
      <c r="E18" s="6" t="s">
        <v>56</v>
      </c>
      <c r="F18" s="6" t="s">
        <v>55</v>
      </c>
    </row>
    <row r="19" customFormat="false" ht="15" hidden="false" customHeight="true" outlineLevel="0" collapsed="false">
      <c r="A19" s="5" t="n">
        <v>18</v>
      </c>
      <c r="B19" s="5" t="s">
        <v>51</v>
      </c>
      <c r="C19" s="5" t="s">
        <v>28</v>
      </c>
      <c r="D19" s="5" t="n">
        <v>10</v>
      </c>
      <c r="E19" s="6" t="s">
        <v>57</v>
      </c>
      <c r="F19" s="6" t="s">
        <v>58</v>
      </c>
    </row>
    <row r="20" customFormat="false" ht="15" hidden="false" customHeight="true" outlineLevel="0" collapsed="false">
      <c r="A20" s="5" t="n">
        <v>19</v>
      </c>
      <c r="B20" s="5" t="s">
        <v>51</v>
      </c>
      <c r="C20" s="5" t="s">
        <v>31</v>
      </c>
      <c r="D20" s="5" t="n">
        <v>9</v>
      </c>
      <c r="E20" s="6" t="s">
        <v>59</v>
      </c>
      <c r="F20" s="6" t="s">
        <v>55</v>
      </c>
    </row>
    <row r="21" customFormat="false" ht="15" hidden="false" customHeight="true" outlineLevel="0" collapsed="false">
      <c r="A21" s="5" t="n">
        <v>20</v>
      </c>
      <c r="B21" s="5" t="s">
        <v>51</v>
      </c>
      <c r="C21" s="5" t="s">
        <v>34</v>
      </c>
      <c r="D21" s="5" t="n">
        <v>8</v>
      </c>
      <c r="E21" s="6" t="s">
        <v>60</v>
      </c>
      <c r="F21" s="6" t="s">
        <v>55</v>
      </c>
    </row>
    <row r="22" customFormat="false" ht="15" hidden="false" customHeight="true" outlineLevel="0" collapsed="false">
      <c r="A22" s="5" t="n">
        <v>21</v>
      </c>
      <c r="B22" s="5" t="s">
        <v>51</v>
      </c>
      <c r="C22" s="5" t="s">
        <v>36</v>
      </c>
      <c r="D22" s="5" t="n">
        <v>7</v>
      </c>
      <c r="E22" s="6" t="s">
        <v>61</v>
      </c>
      <c r="F22" s="6" t="s">
        <v>19</v>
      </c>
    </row>
    <row r="23" customFormat="false" ht="15" hidden="false" customHeight="true" outlineLevel="0" collapsed="false">
      <c r="A23" s="5" t="n">
        <v>22</v>
      </c>
      <c r="B23" s="5" t="s">
        <v>51</v>
      </c>
      <c r="C23" s="5" t="s">
        <v>39</v>
      </c>
      <c r="D23" s="5" t="n">
        <v>6</v>
      </c>
      <c r="E23" s="6" t="s">
        <v>62</v>
      </c>
      <c r="F23" s="6" t="s">
        <v>55</v>
      </c>
    </row>
    <row r="24" customFormat="false" ht="15" hidden="false" customHeight="true" outlineLevel="0" collapsed="false">
      <c r="A24" s="5" t="n">
        <v>23</v>
      </c>
      <c r="B24" s="5" t="s">
        <v>51</v>
      </c>
      <c r="C24" s="5" t="s">
        <v>42</v>
      </c>
      <c r="D24" s="5" t="n">
        <v>5</v>
      </c>
      <c r="E24" s="6" t="s">
        <v>63</v>
      </c>
      <c r="F24" s="6" t="s">
        <v>64</v>
      </c>
    </row>
    <row r="25" customFormat="false" ht="15" hidden="false" customHeight="true" outlineLevel="0" collapsed="false">
      <c r="A25" s="5" t="n">
        <v>24</v>
      </c>
      <c r="B25" s="5" t="s">
        <v>51</v>
      </c>
      <c r="C25" s="5" t="s">
        <v>45</v>
      </c>
      <c r="D25" s="5" t="n">
        <v>4</v>
      </c>
      <c r="E25" s="6" t="s">
        <v>65</v>
      </c>
      <c r="F25" s="6" t="s">
        <v>55</v>
      </c>
    </row>
    <row r="26" customFormat="false" ht="15" hidden="false" customHeight="true" outlineLevel="0" collapsed="false">
      <c r="A26" s="5" t="n">
        <v>25</v>
      </c>
      <c r="B26" s="5" t="s">
        <v>51</v>
      </c>
      <c r="C26" s="5" t="s">
        <v>47</v>
      </c>
      <c r="D26" s="5" t="n">
        <v>3</v>
      </c>
      <c r="E26" s="6" t="s">
        <v>66</v>
      </c>
      <c r="F26" s="6" t="s">
        <v>58</v>
      </c>
    </row>
    <row r="27" customFormat="false" ht="15" hidden="false" customHeight="true" outlineLevel="0" collapsed="false">
      <c r="A27" s="5" t="n">
        <v>26</v>
      </c>
      <c r="B27" s="5" t="s">
        <v>51</v>
      </c>
      <c r="C27" s="5" t="s">
        <v>49</v>
      </c>
      <c r="D27" s="5" t="n">
        <v>2</v>
      </c>
      <c r="E27" s="6" t="s">
        <v>67</v>
      </c>
      <c r="F27" s="6" t="s">
        <v>64</v>
      </c>
    </row>
    <row r="28" customFormat="false" ht="15" hidden="false" customHeight="true" outlineLevel="0" collapsed="false">
      <c r="A28" s="5" t="n">
        <v>27</v>
      </c>
      <c r="B28" s="5" t="s">
        <v>68</v>
      </c>
      <c r="C28" s="5" t="s">
        <v>17</v>
      </c>
      <c r="D28" s="5" t="n">
        <v>14</v>
      </c>
      <c r="E28" s="6" t="s">
        <v>69</v>
      </c>
      <c r="F28" s="6" t="s">
        <v>33</v>
      </c>
    </row>
    <row r="29" customFormat="false" ht="15" hidden="false" customHeight="true" outlineLevel="0" collapsed="false">
      <c r="A29" s="5" t="n">
        <v>28</v>
      </c>
      <c r="B29" s="5" t="s">
        <v>68</v>
      </c>
      <c r="C29" s="5" t="s">
        <v>20</v>
      </c>
      <c r="D29" s="5" t="n">
        <v>13</v>
      </c>
      <c r="E29" s="6" t="s">
        <v>70</v>
      </c>
      <c r="F29" s="6" t="s">
        <v>71</v>
      </c>
    </row>
    <row r="30" customFormat="false" ht="15" hidden="false" customHeight="true" outlineLevel="0" collapsed="false">
      <c r="A30" s="5" t="n">
        <v>29</v>
      </c>
      <c r="B30" s="5" t="s">
        <v>68</v>
      </c>
      <c r="C30" s="5" t="s">
        <v>23</v>
      </c>
      <c r="D30" s="5" t="n">
        <v>12</v>
      </c>
      <c r="E30" s="6" t="s">
        <v>72</v>
      </c>
      <c r="F30" s="6" t="s">
        <v>71</v>
      </c>
    </row>
    <row r="31" customFormat="false" ht="15" hidden="false" customHeight="true" outlineLevel="0" collapsed="false">
      <c r="A31" s="5" t="n">
        <v>30</v>
      </c>
      <c r="B31" s="5" t="s">
        <v>68</v>
      </c>
      <c r="C31" s="5" t="s">
        <v>26</v>
      </c>
      <c r="D31" s="5" t="n">
        <v>11</v>
      </c>
      <c r="E31" s="6" t="s">
        <v>73</v>
      </c>
      <c r="F31" s="6" t="s">
        <v>71</v>
      </c>
    </row>
    <row r="32" customFormat="false" ht="15" hidden="false" customHeight="true" outlineLevel="0" collapsed="false">
      <c r="A32" s="5" t="n">
        <v>31</v>
      </c>
      <c r="B32" s="5" t="s">
        <v>68</v>
      </c>
      <c r="C32" s="5" t="s">
        <v>28</v>
      </c>
      <c r="D32" s="5" t="n">
        <v>10</v>
      </c>
      <c r="E32" s="6" t="s">
        <v>74</v>
      </c>
      <c r="F32" s="6" t="s">
        <v>71</v>
      </c>
    </row>
    <row r="33" customFormat="false" ht="15" hidden="false" customHeight="true" outlineLevel="0" collapsed="false">
      <c r="A33" s="5" t="n">
        <v>32</v>
      </c>
      <c r="B33" s="5" t="s">
        <v>68</v>
      </c>
      <c r="C33" s="5" t="s">
        <v>31</v>
      </c>
      <c r="D33" s="5" t="n">
        <v>9</v>
      </c>
      <c r="E33" s="6" t="s">
        <v>75</v>
      </c>
      <c r="F33" s="6" t="s">
        <v>71</v>
      </c>
    </row>
    <row r="34" customFormat="false" ht="15" hidden="false" customHeight="true" outlineLevel="0" collapsed="false">
      <c r="A34" s="5" t="n">
        <v>33</v>
      </c>
      <c r="B34" s="5" t="s">
        <v>68</v>
      </c>
      <c r="C34" s="5" t="s">
        <v>34</v>
      </c>
      <c r="D34" s="5" t="n">
        <v>8</v>
      </c>
      <c r="E34" s="6" t="s">
        <v>76</v>
      </c>
      <c r="F34" s="6" t="s">
        <v>19</v>
      </c>
    </row>
    <row r="35" customFormat="false" ht="15" hidden="false" customHeight="true" outlineLevel="0" collapsed="false">
      <c r="A35" s="5" t="n">
        <v>34</v>
      </c>
      <c r="B35" s="5" t="s">
        <v>68</v>
      </c>
      <c r="C35" s="5" t="s">
        <v>36</v>
      </c>
      <c r="D35" s="5" t="n">
        <v>7</v>
      </c>
      <c r="E35" s="6" t="s">
        <v>77</v>
      </c>
      <c r="F35" s="6" t="s">
        <v>71</v>
      </c>
    </row>
    <row r="36" customFormat="false" ht="15" hidden="false" customHeight="true" outlineLevel="0" collapsed="false">
      <c r="A36" s="5" t="n">
        <v>35</v>
      </c>
      <c r="B36" s="5" t="s">
        <v>68</v>
      </c>
      <c r="C36" s="5" t="s">
        <v>39</v>
      </c>
      <c r="D36" s="5" t="n">
        <v>6</v>
      </c>
      <c r="E36" s="6" t="s">
        <v>78</v>
      </c>
      <c r="F36" s="6" t="s">
        <v>79</v>
      </c>
    </row>
    <row r="37" customFormat="false" ht="15" hidden="false" customHeight="true" outlineLevel="0" collapsed="false">
      <c r="A37" s="5" t="n">
        <v>36</v>
      </c>
      <c r="B37" s="5" t="s">
        <v>68</v>
      </c>
      <c r="C37" s="5" t="s">
        <v>42</v>
      </c>
      <c r="D37" s="5" t="n">
        <v>5</v>
      </c>
      <c r="E37" s="6" t="s">
        <v>80</v>
      </c>
      <c r="F37" s="6" t="s">
        <v>71</v>
      </c>
    </row>
    <row r="38" customFormat="false" ht="15" hidden="false" customHeight="true" outlineLevel="0" collapsed="false">
      <c r="A38" s="5" t="n">
        <v>37</v>
      </c>
      <c r="B38" s="5" t="s">
        <v>68</v>
      </c>
      <c r="C38" s="5" t="s">
        <v>45</v>
      </c>
      <c r="D38" s="5" t="n">
        <v>4</v>
      </c>
      <c r="E38" s="6" t="s">
        <v>81</v>
      </c>
      <c r="F38" s="6" t="s">
        <v>33</v>
      </c>
    </row>
    <row r="39" customFormat="false" ht="15" hidden="false" customHeight="true" outlineLevel="0" collapsed="false">
      <c r="A39" s="5" t="n">
        <v>38</v>
      </c>
      <c r="B39" s="5" t="s">
        <v>68</v>
      </c>
      <c r="C39" s="5" t="s">
        <v>47</v>
      </c>
      <c r="D39" s="5" t="n">
        <v>3</v>
      </c>
      <c r="E39" s="6" t="s">
        <v>82</v>
      </c>
      <c r="F39" s="6" t="s">
        <v>83</v>
      </c>
    </row>
    <row r="40" customFormat="false" ht="15" hidden="false" customHeight="true" outlineLevel="0" collapsed="false">
      <c r="A40" s="5" t="n">
        <v>39</v>
      </c>
      <c r="B40" s="5" t="s">
        <v>68</v>
      </c>
      <c r="C40" s="5" t="s">
        <v>49</v>
      </c>
      <c r="D40" s="5" t="n">
        <v>2</v>
      </c>
      <c r="E40" s="6" t="s">
        <v>84</v>
      </c>
      <c r="F40" s="6" t="s">
        <v>71</v>
      </c>
    </row>
    <row r="41" customFormat="false" ht="15" hidden="false" customHeight="true" outlineLevel="0" collapsed="false">
      <c r="A41" s="5" t="n">
        <v>40</v>
      </c>
      <c r="B41" s="5" t="s">
        <v>85</v>
      </c>
      <c r="C41" s="5" t="s">
        <v>17</v>
      </c>
      <c r="D41" s="5" t="n">
        <v>14</v>
      </c>
      <c r="E41" s="6" t="s">
        <v>86</v>
      </c>
      <c r="F41" s="6" t="s">
        <v>87</v>
      </c>
    </row>
    <row r="42" customFormat="false" ht="15" hidden="false" customHeight="true" outlineLevel="0" collapsed="false">
      <c r="A42" s="5" t="n">
        <v>41</v>
      </c>
      <c r="B42" s="5" t="s">
        <v>85</v>
      </c>
      <c r="C42" s="5" t="s">
        <v>20</v>
      </c>
      <c r="D42" s="5" t="n">
        <v>13</v>
      </c>
      <c r="E42" s="6" t="s">
        <v>88</v>
      </c>
      <c r="F42" s="6" t="s">
        <v>87</v>
      </c>
    </row>
    <row r="43" customFormat="false" ht="15" hidden="false" customHeight="true" outlineLevel="0" collapsed="false">
      <c r="A43" s="5" t="n">
        <v>42</v>
      </c>
      <c r="B43" s="5" t="s">
        <v>85</v>
      </c>
      <c r="C43" s="5" t="s">
        <v>23</v>
      </c>
      <c r="D43" s="5" t="n">
        <v>12</v>
      </c>
      <c r="E43" s="6" t="s">
        <v>89</v>
      </c>
      <c r="F43" s="6" t="s">
        <v>90</v>
      </c>
    </row>
    <row r="44" customFormat="false" ht="15" hidden="false" customHeight="true" outlineLevel="0" collapsed="false">
      <c r="A44" s="5" t="n">
        <v>43</v>
      </c>
      <c r="B44" s="5" t="s">
        <v>85</v>
      </c>
      <c r="C44" s="5" t="s">
        <v>26</v>
      </c>
      <c r="D44" s="5" t="n">
        <v>11</v>
      </c>
      <c r="E44" s="6" t="s">
        <v>91</v>
      </c>
      <c r="F44" s="6" t="s">
        <v>87</v>
      </c>
    </row>
    <row r="45" customFormat="false" ht="15" hidden="false" customHeight="true" outlineLevel="0" collapsed="false">
      <c r="A45" s="5" t="n">
        <v>44</v>
      </c>
      <c r="B45" s="5" t="s">
        <v>85</v>
      </c>
      <c r="C45" s="5" t="s">
        <v>28</v>
      </c>
      <c r="D45" s="5" t="n">
        <v>10</v>
      </c>
      <c r="E45" s="6" t="s">
        <v>92</v>
      </c>
      <c r="F45" s="6" t="s">
        <v>87</v>
      </c>
    </row>
    <row r="46" customFormat="false" ht="15" hidden="false" customHeight="true" outlineLevel="0" collapsed="false">
      <c r="A46" s="5" t="n">
        <v>45</v>
      </c>
      <c r="B46" s="5" t="s">
        <v>85</v>
      </c>
      <c r="C46" s="5" t="s">
        <v>31</v>
      </c>
      <c r="D46" s="5" t="n">
        <v>9</v>
      </c>
      <c r="E46" s="6" t="s">
        <v>93</v>
      </c>
      <c r="F46" s="6" t="s">
        <v>87</v>
      </c>
    </row>
    <row r="47" customFormat="false" ht="15" hidden="false" customHeight="true" outlineLevel="0" collapsed="false">
      <c r="A47" s="5" t="n">
        <v>46</v>
      </c>
      <c r="B47" s="5" t="s">
        <v>85</v>
      </c>
      <c r="C47" s="5" t="s">
        <v>34</v>
      </c>
      <c r="D47" s="5" t="n">
        <v>8</v>
      </c>
      <c r="E47" s="6" t="s">
        <v>94</v>
      </c>
      <c r="F47" s="6" t="s">
        <v>87</v>
      </c>
    </row>
    <row r="48" customFormat="false" ht="15" hidden="false" customHeight="true" outlineLevel="0" collapsed="false">
      <c r="A48" s="5" t="n">
        <v>47</v>
      </c>
      <c r="B48" s="5" t="s">
        <v>85</v>
      </c>
      <c r="C48" s="5" t="s">
        <v>36</v>
      </c>
      <c r="D48" s="5" t="n">
        <v>7</v>
      </c>
      <c r="E48" s="6" t="s">
        <v>95</v>
      </c>
      <c r="F48" s="6" t="s">
        <v>96</v>
      </c>
    </row>
    <row r="49" customFormat="false" ht="15" hidden="false" customHeight="true" outlineLevel="0" collapsed="false">
      <c r="A49" s="5" t="n">
        <v>48</v>
      </c>
      <c r="B49" s="5" t="s">
        <v>85</v>
      </c>
      <c r="C49" s="5" t="s">
        <v>39</v>
      </c>
      <c r="D49" s="5" t="n">
        <v>6</v>
      </c>
      <c r="E49" s="6" t="s">
        <v>97</v>
      </c>
      <c r="F49" s="6" t="s">
        <v>19</v>
      </c>
    </row>
    <row r="50" customFormat="false" ht="15" hidden="false" customHeight="true" outlineLevel="0" collapsed="false">
      <c r="A50" s="5" t="n">
        <v>49</v>
      </c>
      <c r="B50" s="5" t="s">
        <v>85</v>
      </c>
      <c r="C50" s="5" t="s">
        <v>42</v>
      </c>
      <c r="D50" s="5" t="n">
        <v>5</v>
      </c>
      <c r="E50" s="6" t="s">
        <v>98</v>
      </c>
      <c r="F50" s="6" t="s">
        <v>87</v>
      </c>
    </row>
    <row r="51" customFormat="false" ht="15" hidden="false" customHeight="true" outlineLevel="0" collapsed="false">
      <c r="A51" s="5" t="n">
        <v>50</v>
      </c>
      <c r="B51" s="5" t="s">
        <v>85</v>
      </c>
      <c r="C51" s="5" t="s">
        <v>45</v>
      </c>
      <c r="D51" s="5" t="n">
        <v>4</v>
      </c>
      <c r="E51" s="6" t="s">
        <v>99</v>
      </c>
      <c r="F51" s="6" t="s">
        <v>87</v>
      </c>
    </row>
    <row r="52" customFormat="false" ht="15" hidden="false" customHeight="true" outlineLevel="0" collapsed="false">
      <c r="A52" s="5" t="n">
        <v>51</v>
      </c>
      <c r="B52" s="5" t="s">
        <v>85</v>
      </c>
      <c r="C52" s="5" t="s">
        <v>47</v>
      </c>
      <c r="D52" s="5" t="n">
        <v>3</v>
      </c>
      <c r="E52" s="6" t="s">
        <v>100</v>
      </c>
      <c r="F52" s="6" t="s">
        <v>87</v>
      </c>
    </row>
    <row r="53" customFormat="false" ht="15" hidden="false" customHeight="true" outlineLevel="0" collapsed="false">
      <c r="A53" s="5" t="n">
        <v>52</v>
      </c>
      <c r="B53" s="5" t="s">
        <v>85</v>
      </c>
      <c r="C53" s="5" t="s">
        <v>49</v>
      </c>
      <c r="D53" s="5" t="n">
        <v>2</v>
      </c>
      <c r="E53" s="6" t="s">
        <v>101</v>
      </c>
      <c r="F53" s="6" t="s">
        <v>87</v>
      </c>
    </row>
    <row r="54" customFormat="false" ht="15" hidden="false" customHeight="true" outlineLevel="0" collapsed="false">
      <c r="A54" s="5" t="n">
        <v>53</v>
      </c>
      <c r="B54" s="5" t="s">
        <v>102</v>
      </c>
      <c r="C54" s="5" t="s">
        <v>17</v>
      </c>
      <c r="D54" s="5" t="n">
        <v>14</v>
      </c>
      <c r="E54" s="6" t="s">
        <v>103</v>
      </c>
      <c r="F54" s="6" t="s">
        <v>19</v>
      </c>
    </row>
    <row r="55" customFormat="false" ht="15" hidden="false" customHeight="true" outlineLevel="0" collapsed="false">
      <c r="A55" s="5" t="n">
        <v>54</v>
      </c>
      <c r="B55" s="5" t="s">
        <v>102</v>
      </c>
      <c r="C55" s="5" t="s">
        <v>20</v>
      </c>
      <c r="D55" s="5" t="n">
        <v>13</v>
      </c>
      <c r="E55" s="6" t="s">
        <v>104</v>
      </c>
      <c r="F55" s="6" t="s">
        <v>19</v>
      </c>
    </row>
    <row r="56" customFormat="false" ht="15" hidden="false" customHeight="true" outlineLevel="0" collapsed="false">
      <c r="A56" s="5" t="n">
        <v>55</v>
      </c>
      <c r="B56" s="5" t="s">
        <v>102</v>
      </c>
      <c r="C56" s="5" t="s">
        <v>23</v>
      </c>
      <c r="D56" s="5" t="n">
        <v>12</v>
      </c>
      <c r="E56" s="6" t="s">
        <v>105</v>
      </c>
      <c r="F56" s="6" t="s">
        <v>19</v>
      </c>
    </row>
    <row r="57" customFormat="false" ht="15" hidden="false" customHeight="true" outlineLevel="0" collapsed="false">
      <c r="A57" s="5" t="n">
        <v>56</v>
      </c>
      <c r="B57" s="5" t="s">
        <v>102</v>
      </c>
      <c r="C57" s="5" t="s">
        <v>26</v>
      </c>
      <c r="D57" s="5" t="n">
        <v>11</v>
      </c>
      <c r="E57" s="6" t="s">
        <v>106</v>
      </c>
      <c r="F57" s="6" t="s">
        <v>107</v>
      </c>
    </row>
    <row r="58" customFormat="false" ht="15" hidden="false" customHeight="true" outlineLevel="0" collapsed="false">
      <c r="A58" s="5" t="n">
        <v>57</v>
      </c>
      <c r="B58" s="5" t="s">
        <v>102</v>
      </c>
      <c r="C58" s="5" t="s">
        <v>28</v>
      </c>
      <c r="D58" s="5" t="n">
        <v>10</v>
      </c>
      <c r="E58" s="6" t="s">
        <v>108</v>
      </c>
      <c r="F58" s="6" t="s">
        <v>58</v>
      </c>
    </row>
    <row r="59" customFormat="false" ht="15" hidden="false" customHeight="true" outlineLevel="0" collapsed="false">
      <c r="A59" s="5" t="n">
        <v>58</v>
      </c>
      <c r="B59" s="5" t="s">
        <v>102</v>
      </c>
      <c r="C59" s="5" t="s">
        <v>31</v>
      </c>
      <c r="D59" s="5" t="n">
        <v>9</v>
      </c>
      <c r="E59" s="6" t="s">
        <v>109</v>
      </c>
      <c r="F59" s="6" t="s">
        <v>110</v>
      </c>
    </row>
    <row r="60" customFormat="false" ht="15" hidden="false" customHeight="true" outlineLevel="0" collapsed="false">
      <c r="A60" s="5" t="n">
        <v>59</v>
      </c>
      <c r="B60" s="5" t="s">
        <v>102</v>
      </c>
      <c r="C60" s="5" t="s">
        <v>34</v>
      </c>
      <c r="D60" s="5" t="n">
        <v>8</v>
      </c>
      <c r="E60" s="6" t="s">
        <v>111</v>
      </c>
      <c r="F60" s="6" t="s">
        <v>19</v>
      </c>
    </row>
    <row r="61" customFormat="false" ht="15" hidden="false" customHeight="true" outlineLevel="0" collapsed="false">
      <c r="A61" s="5" t="n">
        <v>60</v>
      </c>
      <c r="B61" s="5" t="s">
        <v>102</v>
      </c>
      <c r="C61" s="5" t="s">
        <v>36</v>
      </c>
      <c r="D61" s="5" t="n">
        <v>7</v>
      </c>
      <c r="E61" s="6" t="s">
        <v>112</v>
      </c>
      <c r="F61" s="6" t="s">
        <v>58</v>
      </c>
    </row>
    <row r="62" customFormat="false" ht="15" hidden="false" customHeight="true" outlineLevel="0" collapsed="false">
      <c r="A62" s="5" t="n">
        <v>61</v>
      </c>
      <c r="B62" s="5" t="s">
        <v>102</v>
      </c>
      <c r="C62" s="5" t="s">
        <v>39</v>
      </c>
      <c r="D62" s="5" t="n">
        <v>6</v>
      </c>
      <c r="E62" s="6" t="s">
        <v>113</v>
      </c>
      <c r="F62" s="6" t="s">
        <v>58</v>
      </c>
    </row>
    <row r="63" customFormat="false" ht="15" hidden="false" customHeight="true" outlineLevel="0" collapsed="false">
      <c r="A63" s="5" t="n">
        <v>62</v>
      </c>
      <c r="B63" s="5" t="s">
        <v>102</v>
      </c>
      <c r="C63" s="5" t="s">
        <v>42</v>
      </c>
      <c r="D63" s="5" t="n">
        <v>5</v>
      </c>
      <c r="E63" s="6" t="s">
        <v>114</v>
      </c>
      <c r="F63" s="6" t="s">
        <v>71</v>
      </c>
    </row>
    <row r="64" customFormat="false" ht="15" hidden="false" customHeight="true" outlineLevel="0" collapsed="false">
      <c r="A64" s="5" t="n">
        <v>63</v>
      </c>
      <c r="B64" s="5" t="s">
        <v>102</v>
      </c>
      <c r="C64" s="5" t="s">
        <v>45</v>
      </c>
      <c r="D64" s="5" t="n">
        <v>4</v>
      </c>
      <c r="E64" s="6" t="s">
        <v>115</v>
      </c>
      <c r="F64" s="6" t="s">
        <v>19</v>
      </c>
    </row>
    <row r="65" customFormat="false" ht="15" hidden="false" customHeight="true" outlineLevel="0" collapsed="false">
      <c r="A65" s="5" t="n">
        <v>64</v>
      </c>
      <c r="B65" s="5" t="s">
        <v>102</v>
      </c>
      <c r="C65" s="5" t="s">
        <v>47</v>
      </c>
      <c r="D65" s="5" t="n">
        <v>3</v>
      </c>
      <c r="E65" s="6" t="s">
        <v>116</v>
      </c>
      <c r="F65" s="6" t="s">
        <v>19</v>
      </c>
    </row>
    <row r="66" customFormat="false" ht="15" hidden="false" customHeight="true" outlineLevel="0" collapsed="false">
      <c r="A66" s="5" t="n">
        <v>65</v>
      </c>
      <c r="B66" s="5" t="s">
        <v>102</v>
      </c>
      <c r="C66" s="5" t="s">
        <v>49</v>
      </c>
      <c r="D66" s="5" t="n">
        <v>2</v>
      </c>
      <c r="E66" s="6" t="s">
        <v>117</v>
      </c>
      <c r="F66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4" t="s">
        <v>118</v>
      </c>
      <c r="B1" s="4" t="s">
        <v>119</v>
      </c>
      <c r="C1" s="4" t="s">
        <v>120</v>
      </c>
      <c r="D1" s="4" t="s">
        <v>121</v>
      </c>
      <c r="E1" s="4" t="s">
        <v>122</v>
      </c>
    </row>
    <row r="2" customFormat="false" ht="15" hidden="false" customHeight="true" outlineLevel="0" collapsed="false">
      <c r="A2" s="7" t="s">
        <v>123</v>
      </c>
      <c r="B2" s="7" t="s">
        <v>124</v>
      </c>
      <c r="C2" s="7" t="s">
        <v>125</v>
      </c>
      <c r="D2" s="8" t="n">
        <v>5</v>
      </c>
      <c r="E2" s="8" t="n">
        <v>1</v>
      </c>
    </row>
    <row r="3" customFormat="false" ht="15" hidden="false" customHeight="true" outlineLevel="0" collapsed="false">
      <c r="A3" s="7" t="s">
        <v>126</v>
      </c>
      <c r="B3" s="7" t="s">
        <v>127</v>
      </c>
      <c r="C3" s="7" t="s">
        <v>128</v>
      </c>
      <c r="D3" s="8" t="n">
        <v>10</v>
      </c>
      <c r="E3" s="8" t="n">
        <v>2</v>
      </c>
    </row>
    <row r="4" customFormat="false" ht="15" hidden="false" customHeight="true" outlineLevel="0" collapsed="false">
      <c r="A4" s="7" t="s">
        <v>129</v>
      </c>
      <c r="B4" s="7" t="s">
        <v>130</v>
      </c>
      <c r="C4" s="7" t="s">
        <v>131</v>
      </c>
      <c r="D4" s="8" t="n">
        <v>20</v>
      </c>
      <c r="E4" s="8" t="n">
        <v>2</v>
      </c>
    </row>
    <row r="5" customFormat="false" ht="15" hidden="false" customHeight="true" outlineLevel="0" collapsed="false">
      <c r="A5" s="7" t="s">
        <v>132</v>
      </c>
      <c r="B5" s="7" t="s">
        <v>133</v>
      </c>
      <c r="C5" s="7" t="s">
        <v>134</v>
      </c>
      <c r="D5" s="8" t="n">
        <v>30</v>
      </c>
      <c r="E5" s="8" t="n">
        <v>3</v>
      </c>
    </row>
    <row r="6" customFormat="false" ht="15" hidden="false" customHeight="true" outlineLevel="0" collapsed="false">
      <c r="A6" s="7" t="s">
        <v>135</v>
      </c>
      <c r="B6" s="7" t="s">
        <v>136</v>
      </c>
      <c r="C6" s="7" t="s">
        <v>137</v>
      </c>
      <c r="D6" s="8" t="n">
        <v>30</v>
      </c>
      <c r="E6" s="8" t="n">
        <v>4</v>
      </c>
    </row>
    <row r="7" customFormat="false" ht="15" hidden="false" customHeight="true" outlineLevel="0" collapsed="false">
      <c r="A7" s="7" t="s">
        <v>138</v>
      </c>
      <c r="B7" s="7" t="s">
        <v>139</v>
      </c>
      <c r="C7" s="7" t="s">
        <v>140</v>
      </c>
      <c r="D7" s="8" t="n">
        <v>35</v>
      </c>
      <c r="E7" s="8" t="n">
        <v>4</v>
      </c>
    </row>
    <row r="8" customFormat="false" ht="15" hidden="false" customHeight="true" outlineLevel="0" collapsed="false">
      <c r="A8" s="7" t="s">
        <v>141</v>
      </c>
      <c r="B8" s="7" t="s">
        <v>141</v>
      </c>
      <c r="C8" s="7" t="s">
        <v>142</v>
      </c>
      <c r="D8" s="8" t="n">
        <v>40</v>
      </c>
      <c r="E8" s="8" t="n">
        <v>4</v>
      </c>
    </row>
    <row r="9" customFormat="false" ht="15" hidden="false" customHeight="true" outlineLevel="0" collapsed="false">
      <c r="A9" s="7" t="s">
        <v>143</v>
      </c>
      <c r="B9" s="7" t="s">
        <v>144</v>
      </c>
      <c r="C9" s="7" t="s">
        <v>145</v>
      </c>
      <c r="D9" s="8" t="n">
        <v>60</v>
      </c>
      <c r="E9" s="8" t="n">
        <v>7</v>
      </c>
    </row>
    <row r="10" customFormat="false" ht="15" hidden="false" customHeight="true" outlineLevel="0" collapsed="false">
      <c r="A10" s="7" t="s">
        <v>146</v>
      </c>
      <c r="B10" s="7" t="s">
        <v>147</v>
      </c>
      <c r="C10" s="7" t="s">
        <v>148</v>
      </c>
      <c r="D10" s="8" t="n">
        <v>80</v>
      </c>
      <c r="E10" s="8" t="n">
        <v>9</v>
      </c>
    </row>
    <row r="11" customFormat="false" ht="15" hidden="false" customHeight="true" outlineLevel="0" collapsed="false">
      <c r="A11" s="7" t="s">
        <v>149</v>
      </c>
      <c r="B11" s="7" t="s">
        <v>150</v>
      </c>
      <c r="C11" s="7" t="s">
        <v>151</v>
      </c>
      <c r="D11" s="8" t="n">
        <v>100</v>
      </c>
      <c r="E11" s="8" t="n">
        <v>8</v>
      </c>
    </row>
    <row r="12" customFormat="false" ht="15" hidden="false" customHeight="true" outlineLevel="0" collapsed="false">
      <c r="A12" s="7" t="s">
        <v>152</v>
      </c>
      <c r="B12" s="7" t="s">
        <v>153</v>
      </c>
      <c r="C12" s="7" t="s">
        <v>154</v>
      </c>
      <c r="D12" s="8" t="n">
        <v>160</v>
      </c>
      <c r="E12" s="8" t="n">
        <v>12</v>
      </c>
    </row>
    <row r="14" customFormat="false" ht="15" hidden="false" customHeight="true" outlineLevel="0" collapsed="false">
      <c r="A14" s="9" t="s">
        <v>155</v>
      </c>
    </row>
    <row r="15" customFormat="false" ht="15" hidden="false" customHeight="true" outlineLevel="0" collapsed="false">
      <c r="A15" s="10" t="s">
        <v>156</v>
      </c>
      <c r="B15" s="11" t="n">
        <v>0.5</v>
      </c>
    </row>
    <row r="16" customFormat="false" ht="15" hidden="false" customHeight="true" outlineLevel="0" collapsed="false">
      <c r="A16" s="10" t="s">
        <v>157</v>
      </c>
      <c r="B16" s="11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6"/>
  </cols>
  <sheetData>
    <row r="1" customFormat="false" ht="15" hidden="false" customHeight="true" outlineLevel="0" collapsed="false">
      <c r="A1" s="12" t="s">
        <v>158</v>
      </c>
      <c r="B1" s="12"/>
      <c r="C1" s="12"/>
      <c r="D1" s="12"/>
      <c r="E1" s="12"/>
      <c r="F1" s="12"/>
    </row>
    <row r="3" customFormat="false" ht="15" hidden="false" customHeight="true" outlineLevel="0" collapsed="false">
      <c r="A3" s="4"/>
      <c r="B3" s="4" t="s">
        <v>159</v>
      </c>
      <c r="C3" s="4" t="s">
        <v>160</v>
      </c>
      <c r="D3" s="4" t="s">
        <v>161</v>
      </c>
      <c r="E3" s="4" t="s">
        <v>162</v>
      </c>
      <c r="F3" s="4" t="s">
        <v>163</v>
      </c>
    </row>
    <row r="4" customFormat="false" ht="15" hidden="false" customHeight="true" outlineLevel="0" collapsed="false">
      <c r="A4" s="9" t="s">
        <v>164</v>
      </c>
      <c r="B4" s="13" t="n">
        <v>1</v>
      </c>
      <c r="C4" s="13" t="n">
        <v>2</v>
      </c>
      <c r="D4" s="13" t="n">
        <v>3</v>
      </c>
      <c r="E4" s="13" t="n">
        <v>4</v>
      </c>
      <c r="F4" s="13" t="n">
        <v>5</v>
      </c>
    </row>
    <row r="5" customFormat="false" ht="15" hidden="false" customHeight="true" outlineLevel="0" collapsed="false">
      <c r="A5" s="9" t="s">
        <v>11</v>
      </c>
      <c r="B5" s="5" t="str">
        <f aca="false">IFERROR(INDEX(Deck!$B$2:$B$66,MATCH(B4,Deck!$A$2:$A$66,0)),"?")</f>
        <v>Premier League</v>
      </c>
      <c r="C5" s="5" t="str">
        <f aca="false">IFERROR(INDEX(Deck!$B$2:$B$66,MATCH(C4,Deck!$A$2:$A$66,0)),"?")</f>
        <v>Premier League</v>
      </c>
      <c r="D5" s="5" t="str">
        <f aca="false">IFERROR(INDEX(Deck!$B$2:$B$66,MATCH(D4,Deck!$A$2:$A$66,0)),"?")</f>
        <v>Premier League</v>
      </c>
      <c r="E5" s="5" t="str">
        <f aca="false">IFERROR(INDEX(Deck!$B$2:$B$66,MATCH(E4,Deck!$A$2:$A$66,0)),"?")</f>
        <v>Premier League</v>
      </c>
      <c r="F5" s="5" t="str">
        <f aca="false">IFERROR(INDEX(Deck!$B$2:$B$66,MATCH(F4,Deck!$A$2:$A$66,0)),"?")</f>
        <v>Premier League</v>
      </c>
    </row>
    <row r="6" customFormat="false" ht="15" hidden="false" customHeight="true" outlineLevel="0" collapsed="false">
      <c r="A6" s="9" t="s">
        <v>165</v>
      </c>
      <c r="B6" s="5" t="n">
        <f aca="false">IFERROR(INDEX(Deck!$D$2:$D$66,MATCH(B4,Deck!$A$2:$A$66,0)),"?")</f>
        <v>14</v>
      </c>
      <c r="C6" s="5" t="n">
        <f aca="false">IFERROR(INDEX(Deck!$D$2:$D$66,MATCH(C4,Deck!$A$2:$A$66,0)),"?")</f>
        <v>13</v>
      </c>
      <c r="D6" s="5" t="n">
        <f aca="false">IFERROR(INDEX(Deck!$D$2:$D$66,MATCH(D4,Deck!$A$2:$A$66,0)),"?")</f>
        <v>12</v>
      </c>
      <c r="E6" s="5" t="n">
        <f aca="false">IFERROR(INDEX(Deck!$D$2:$D$66,MATCH(E4,Deck!$A$2:$A$66,0)),"?")</f>
        <v>11</v>
      </c>
      <c r="F6" s="5" t="n">
        <f aca="false">IFERROR(INDEX(Deck!$D$2:$D$66,MATCH(F4,Deck!$A$2:$A$66,0)),"?")</f>
        <v>10</v>
      </c>
    </row>
    <row r="7" customFormat="false" ht="15" hidden="false" customHeight="true" outlineLevel="0" collapsed="false">
      <c r="A7" s="9" t="s">
        <v>12</v>
      </c>
      <c r="B7" s="5" t="str">
        <f aca="false">IFERROR(INDEX(Deck!$C$2:$C$66,MATCH(B4,Deck!$A$2:$A$66,0)),"?")</f>
        <v>As</v>
      </c>
      <c r="C7" s="5" t="str">
        <f aca="false">IFERROR(INDEX(Deck!$C$2:$C$66,MATCH(C4,Deck!$A$2:$A$66,0)),"?")</f>
        <v>Roi</v>
      </c>
      <c r="D7" s="5" t="str">
        <f aca="false">IFERROR(INDEX(Deck!$C$2:$C$66,MATCH(D4,Deck!$A$2:$A$66,0)),"?")</f>
        <v>Dame</v>
      </c>
      <c r="E7" s="5" t="str">
        <f aca="false">IFERROR(INDEX(Deck!$C$2:$C$66,MATCH(E4,Deck!$A$2:$A$66,0)),"?")</f>
        <v>Valet</v>
      </c>
      <c r="F7" s="5" t="str">
        <f aca="false">IFERROR(INDEX(Deck!$C$2:$C$66,MATCH(F4,Deck!$A$2:$A$66,0)),"?")</f>
        <v>10</v>
      </c>
    </row>
    <row r="8" customFormat="false" ht="15" hidden="false" customHeight="true" outlineLevel="0" collapsed="false">
      <c r="A8" s="9" t="s">
        <v>14</v>
      </c>
      <c r="B8" s="5" t="str">
        <f aca="false">IFERROR(INDEX(Deck!$E$2:$E$66,MATCH(B4,Deck!$A$2:$A$66,0))&amp;"","?")</f>
        <v>Thierry Henry</v>
      </c>
      <c r="C8" s="5" t="str">
        <f aca="false">IFERROR(INDEX(Deck!$E$2:$E$66,MATCH(C4,Deck!$A$2:$A$66,0))&amp;"","?")</f>
        <v>Cristiano Ronaldo</v>
      </c>
      <c r="D8" s="5" t="str">
        <f aca="false">IFERROR(INDEX(Deck!$E$2:$E$66,MATCH(D4,Deck!$A$2:$A$66,0))&amp;"","?")</f>
        <v>Steven Gerrard</v>
      </c>
      <c r="E8" s="5" t="str">
        <f aca="false">IFERROR(INDEX(Deck!$E$2:$E$66,MATCH(E4,Deck!$A$2:$A$66,0))&amp;"","?")</f>
        <v>Frank Lampard</v>
      </c>
      <c r="F8" s="5" t="str">
        <f aca="false">IFERROR(INDEX(Deck!$E$2:$E$66,MATCH(F4,Deck!$A$2:$A$66,0))&amp;"","?")</f>
        <v>Didier Drogba</v>
      </c>
    </row>
    <row r="9" customFormat="false" ht="15" hidden="false" customHeight="true" outlineLevel="0" collapsed="false">
      <c r="A9" s="9" t="s">
        <v>15</v>
      </c>
      <c r="B9" s="5" t="str">
        <f aca="false">IFERROR(INDEX(Deck!$F$2:$F$66,MATCH(B4,Deck!$A$2:$A$66,0))&amp;"","?")</f>
        <v>France</v>
      </c>
      <c r="C9" s="5" t="str">
        <f aca="false">IFERROR(INDEX(Deck!$F$2:$F$66,MATCH(C4,Deck!$A$2:$A$66,0))&amp;"","?")</f>
        <v>Portugal</v>
      </c>
      <c r="D9" s="5" t="str">
        <f aca="false">IFERROR(INDEX(Deck!$F$2:$F$66,MATCH(D4,Deck!$A$2:$A$66,0))&amp;"","?")</f>
        <v>Angleterre</v>
      </c>
      <c r="E9" s="5" t="str">
        <f aca="false">IFERROR(INDEX(Deck!$F$2:$F$66,MATCH(E4,Deck!$A$2:$A$66,0))&amp;"","?")</f>
        <v>Angleterre</v>
      </c>
      <c r="F9" s="5" t="str">
        <f aca="false">IFERROR(INDEX(Deck!$F$2:$F$66,MATCH(F4,Deck!$A$2:$A$66,0))&amp;"","?")</f>
        <v>Cote d'Ivoire</v>
      </c>
    </row>
    <row r="10" customFormat="false" ht="15" hidden="false" customHeight="true" outlineLevel="0" collapsed="false">
      <c r="A10" s="9" t="s">
        <v>166</v>
      </c>
      <c r="B10" s="5" t="n">
        <f aca="false">COUNTIF($B$6:$F$6,B6)</f>
        <v>1</v>
      </c>
      <c r="C10" s="5" t="n">
        <f aca="false">COUNTIF($B$6:$F$6,C6)</f>
        <v>1</v>
      </c>
      <c r="D10" s="5" t="n">
        <f aca="false">COUNTIF($B$6:$F$6,D6)</f>
        <v>1</v>
      </c>
      <c r="E10" s="5" t="n">
        <f aca="false">COUNTIF($B$6:$F$6,E6)</f>
        <v>1</v>
      </c>
      <c r="F10" s="5" t="n">
        <f aca="false">COUNTIF($B$6:$F$6,F6)</f>
        <v>1</v>
      </c>
    </row>
    <row r="11" customFormat="false" ht="15" hidden="false" customHeight="true" outlineLevel="0" collapsed="false">
      <c r="A11" s="9" t="s">
        <v>167</v>
      </c>
      <c r="B11" s="5" t="n">
        <f aca="false">COUNTIF($B$5:$F$5,B5)</f>
        <v>5</v>
      </c>
      <c r="C11" s="5" t="n">
        <f aca="false">COUNTIF($B$5:$F$5,C5)</f>
        <v>5</v>
      </c>
      <c r="D11" s="5" t="n">
        <f aca="false">COUNTIF($B$5:$F$5,D5)</f>
        <v>5</v>
      </c>
      <c r="E11" s="5" t="n">
        <f aca="false">COUNTIF($B$5:$F$5,E5)</f>
        <v>5</v>
      </c>
      <c r="F11" s="5" t="n">
        <f aca="false">COUNTIF($B$5:$F$5,F5)</f>
        <v>5</v>
      </c>
    </row>
    <row r="13" customFormat="false" ht="15" hidden="false" customHeight="true" outlineLevel="0" collapsed="false">
      <c r="A13" s="14" t="s">
        <v>168</v>
      </c>
      <c r="B13" s="14"/>
      <c r="C13" s="14"/>
      <c r="D13" s="14"/>
      <c r="E13" s="14"/>
      <c r="F13" s="14"/>
    </row>
    <row r="14" customFormat="false" ht="15" hidden="false" customHeight="true" outlineLevel="0" collapsed="false">
      <c r="A14" s="10" t="s">
        <v>169</v>
      </c>
      <c r="B14" s="10" t="n">
        <f aca="false">COUNTIF($B$10:$F$10,2)</f>
        <v>0</v>
      </c>
    </row>
    <row r="15" customFormat="false" ht="15" hidden="false" customHeight="true" outlineLevel="0" collapsed="false">
      <c r="A15" s="10" t="s">
        <v>170</v>
      </c>
      <c r="B15" s="10" t="n">
        <f aca="false">COUNTIF($B$10:$F$10,3)</f>
        <v>0</v>
      </c>
    </row>
    <row r="16" customFormat="false" ht="15" hidden="false" customHeight="true" outlineLevel="0" collapsed="false">
      <c r="A16" s="10" t="s">
        <v>171</v>
      </c>
      <c r="B16" s="10" t="n">
        <f aca="false">COUNTIF($B$10:$F$10,4)</f>
        <v>0</v>
      </c>
    </row>
    <row r="17" customFormat="false" ht="15" hidden="false" customHeight="true" outlineLevel="0" collapsed="false">
      <c r="A17" s="10" t="s">
        <v>172</v>
      </c>
      <c r="B17" s="10" t="n">
        <f aca="false">COUNTIF($B$10:$F$10,5)</f>
        <v>0</v>
      </c>
    </row>
    <row r="18" customFormat="false" ht="15" hidden="false" customHeight="true" outlineLevel="0" collapsed="false">
      <c r="A18" s="10" t="s">
        <v>173</v>
      </c>
      <c r="B18" s="10" t="n">
        <f aca="false">COUNTIF($B$10:$F$10,1)</f>
        <v>5</v>
      </c>
    </row>
    <row r="19" customFormat="false" ht="15" hidden="false" customHeight="true" outlineLevel="0" collapsed="false">
      <c r="A19" s="10" t="s">
        <v>174</v>
      </c>
      <c r="B19" s="15" t="b">
        <f aca="false">MAX($B$11:$F$11)=5</f>
        <v>1</v>
      </c>
    </row>
    <row r="20" customFormat="false" ht="15" hidden="false" customHeight="true" outlineLevel="0" collapsed="false">
      <c r="A20" s="10" t="s">
        <v>175</v>
      </c>
      <c r="B20" s="15" t="b">
        <f aca="false">AND(MAX($B$6:$F$6)-MIN($B$6:$F$6)=4,B18=5)</f>
        <v>1</v>
      </c>
    </row>
    <row r="21" customFormat="false" ht="15" hidden="false" customHeight="true" outlineLevel="0" collapsed="false">
      <c r="A21" s="10" t="s">
        <v>176</v>
      </c>
      <c r="B21" s="15" t="b">
        <f aca="false">AND(MIN($B$6:$F$6)=10,MAX($B$6:$F$6)=14,B18=5)</f>
        <v>1</v>
      </c>
    </row>
    <row r="23" customFormat="false" ht="15" hidden="false" customHeight="true" outlineLevel="0" collapsed="false">
      <c r="A23" s="9" t="s">
        <v>177</v>
      </c>
      <c r="B23" s="16" t="str">
        <f aca="false">IF(AND(B20,B19,B21),"Onze de legende",IF(AND(B20,B19),"Selection parfaite",IF(B17=5,"Cinq identique",IF(B16=4,"Carre magique",IF(AND(B15=3,B14=2),"Full",IF(B19,"Alignement",IF(B20,"Enchainement",IF(B15=3,"Trio offensif",IF(B14=4,"Double Duo",IF(B14=2,"Duo","Solo"))))))))))</f>
        <v>Onze de legende</v>
      </c>
    </row>
    <row r="25" customFormat="false" ht="15" hidden="false" customHeight="true" outlineLevel="0" collapsed="false">
      <c r="A25" s="10" t="s">
        <v>178</v>
      </c>
      <c r="B25" s="10" t="n">
        <f aca="false">INDEX(Bareme!$D$2:$D$12,MATCH($B$23,Bareme!$B$2:$B$12,0))</f>
        <v>160</v>
      </c>
    </row>
    <row r="26" customFormat="false" ht="15" hidden="false" customHeight="true" outlineLevel="0" collapsed="false">
      <c r="A26" s="10" t="s">
        <v>179</v>
      </c>
      <c r="B26" s="10" t="n">
        <f aca="false">INDEX(Bareme!$E$2:$E$12,MATCH($B$23,Bareme!$B$2:$B$12,0))</f>
        <v>12</v>
      </c>
    </row>
    <row r="28" customFormat="false" ht="15" hidden="false" customHeight="true" outlineLevel="0" collapsed="false">
      <c r="A28" s="10" t="s">
        <v>180</v>
      </c>
      <c r="B28" s="10" t="n">
        <f aca="false">IF(AND(B9=C9,B9&lt;&gt;""),1,0)</f>
        <v>0</v>
      </c>
      <c r="C28" s="10" t="n">
        <f aca="false">IF(AND(B9=D9,B9&lt;&gt;""),1,0)</f>
        <v>0</v>
      </c>
      <c r="D28" s="10" t="n">
        <f aca="false">IF(AND(B9=E9,B9&lt;&gt;""),1,0)</f>
        <v>0</v>
      </c>
      <c r="E28" s="10" t="n">
        <f aca="false">IF(AND(B9=F9,B9&lt;&gt;""),1,0)</f>
        <v>0</v>
      </c>
      <c r="F28" s="10" t="n">
        <f aca="false">IF(AND(C9=D9,C9&lt;&gt;""),1,0)</f>
        <v>0</v>
      </c>
    </row>
    <row r="29" customFormat="false" ht="15" hidden="false" customHeight="true" outlineLevel="0" collapsed="false">
      <c r="A29" s="10" t="s">
        <v>181</v>
      </c>
      <c r="B29" s="10" t="n">
        <f aca="false">IF(AND(C9=E9,C9&lt;&gt;""),1,0)</f>
        <v>0</v>
      </c>
      <c r="C29" s="10" t="n">
        <f aca="false">IF(AND(C9=F9,C9&lt;&gt;""),1,0)</f>
        <v>0</v>
      </c>
      <c r="D29" s="10" t="n">
        <f aca="false">IF(AND(D9=E9,D9&lt;&gt;""),1,0)</f>
        <v>1</v>
      </c>
      <c r="E29" s="10" t="n">
        <f aca="false">IF(AND(D9=F9,D9&lt;&gt;""),1,0)</f>
        <v>0</v>
      </c>
      <c r="F29" s="10" t="n">
        <f aca="false">IF(AND(E9=F9,E9&lt;&gt;""),1,0)</f>
        <v>0</v>
      </c>
    </row>
    <row r="31" customFormat="false" ht="15" hidden="false" customHeight="true" outlineLevel="0" collapsed="false">
      <c r="A31" s="10" t="s">
        <v>182</v>
      </c>
      <c r="B31" s="10" t="n">
        <f aca="false">SUM(B28:F28)+SUM(B29:F29)</f>
        <v>1</v>
      </c>
    </row>
    <row r="32" customFormat="false" ht="15" hidden="false" customHeight="true" outlineLevel="0" collapsed="false">
      <c r="A32" s="10" t="s">
        <v>183</v>
      </c>
      <c r="B32" s="10" t="n">
        <f aca="false">B31*Bareme!$B$15</f>
        <v>0.5</v>
      </c>
    </row>
    <row r="34" customFormat="false" ht="15" hidden="false" customHeight="true" outlineLevel="0" collapsed="false">
      <c r="A34" s="10" t="s">
        <v>184</v>
      </c>
      <c r="B34" s="10" t="n">
        <f aca="false">IF(AND(B5=C5,B9=C9,B9&lt;&gt;""),1,0)</f>
        <v>0</v>
      </c>
      <c r="C34" s="10" t="n">
        <f aca="false">IF(AND(B5=D5,B9=D9,B9&lt;&gt;""),1,0)</f>
        <v>0</v>
      </c>
      <c r="D34" s="10" t="n">
        <f aca="false">IF(AND(B5=E5,B9=E9,B9&lt;&gt;""),1,0)</f>
        <v>0</v>
      </c>
      <c r="E34" s="10" t="n">
        <f aca="false">IF(AND(B5=F5,B9=F9,B9&lt;&gt;""),1,0)</f>
        <v>0</v>
      </c>
      <c r="F34" s="10" t="n">
        <f aca="false">IF(AND(C5=D5,C9=D9,C9&lt;&gt;""),1,0)</f>
        <v>0</v>
      </c>
    </row>
    <row r="35" customFormat="false" ht="15" hidden="false" customHeight="true" outlineLevel="0" collapsed="false">
      <c r="A35" s="10" t="s">
        <v>181</v>
      </c>
      <c r="B35" s="10" t="n">
        <f aca="false">IF(AND(C5=E5,C9=E9,C9&lt;&gt;""),1,0)</f>
        <v>0</v>
      </c>
      <c r="C35" s="10" t="n">
        <f aca="false">IF(AND(C5=F5,C9=F9,C9&lt;&gt;""),1,0)</f>
        <v>0</v>
      </c>
      <c r="D35" s="10" t="n">
        <f aca="false">IF(AND(D5=E5,D9=E9,D9&lt;&gt;""),1,0)</f>
        <v>1</v>
      </c>
      <c r="E35" s="10" t="n">
        <f aca="false">IF(AND(D5=F5,D9=F9,D9&lt;&gt;""),1,0)</f>
        <v>0</v>
      </c>
      <c r="F35" s="10" t="n">
        <f aca="false">IF(AND(E5=F5,E9=F9,E9&lt;&gt;""),1,0)</f>
        <v>0</v>
      </c>
    </row>
    <row r="37" customFormat="false" ht="15" hidden="false" customHeight="true" outlineLevel="0" collapsed="false">
      <c r="A37" s="10" t="s">
        <v>185</v>
      </c>
      <c r="B37" s="10" t="n">
        <f aca="false">SUM(B34:F34)+SUM(B35:F35)</f>
        <v>1</v>
      </c>
    </row>
    <row r="38" customFormat="false" ht="15" hidden="false" customHeight="true" outlineLevel="0" collapsed="false">
      <c r="A38" s="10" t="s">
        <v>186</v>
      </c>
      <c r="B38" s="10" t="n">
        <f aca="false">B37*Bareme!$B$16</f>
        <v>0.5</v>
      </c>
    </row>
    <row r="40" customFormat="false" ht="15" hidden="false" customHeight="true" outlineLevel="0" collapsed="false">
      <c r="A40" s="9" t="s">
        <v>187</v>
      </c>
      <c r="B40" s="9" t="n">
        <f aca="false">B26+B32+B38</f>
        <v>13</v>
      </c>
    </row>
    <row r="41" customFormat="false" ht="15.75" hidden="false" customHeight="true" outlineLevel="0" collapsed="false">
      <c r="A41" s="9" t="s">
        <v>188</v>
      </c>
      <c r="B41" s="17" t="n">
        <f aca="false">B25*B40</f>
        <v>2080</v>
      </c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4"/>
  </cols>
  <sheetData>
    <row r="1" customFormat="false" ht="15" hidden="false" customHeight="true" outlineLevel="0" collapsed="false">
      <c r="A1" s="4" t="s">
        <v>189</v>
      </c>
      <c r="B1" s="4" t="s">
        <v>190</v>
      </c>
      <c r="C1" s="4" t="s">
        <v>191</v>
      </c>
      <c r="D1" s="4" t="s">
        <v>192</v>
      </c>
    </row>
    <row r="2" customFormat="false" ht="15" hidden="false" customHeight="true" outlineLevel="0" collapsed="false">
      <c r="A2" s="5" t="n">
        <v>1</v>
      </c>
      <c r="B2" s="5" t="s">
        <v>193</v>
      </c>
      <c r="C2" s="6" t="n">
        <v>100</v>
      </c>
      <c r="D2" s="5" t="str">
        <f aca="false">IF(Simulateur!$B$41&gt;=C2,"OK Reussi","KO Echec")</f>
        <v>OK Reussi</v>
      </c>
    </row>
    <row r="3" customFormat="false" ht="15" hidden="false" customHeight="true" outlineLevel="0" collapsed="false">
      <c r="A3" s="5" t="n">
        <v>1</v>
      </c>
      <c r="B3" s="5" t="s">
        <v>194</v>
      </c>
      <c r="C3" s="6" t="n">
        <v>150</v>
      </c>
      <c r="D3" s="5" t="str">
        <f aca="false">IF(Simulateur!$B$41&gt;=C3,"OK Reussi","KO Echec")</f>
        <v>OK Reussi</v>
      </c>
    </row>
    <row r="4" customFormat="false" ht="15" hidden="false" customHeight="true" outlineLevel="0" collapsed="false">
      <c r="A4" s="5" t="n">
        <v>1</v>
      </c>
      <c r="B4" s="5" t="s">
        <v>195</v>
      </c>
      <c r="C4" s="6" t="n">
        <v>300</v>
      </c>
      <c r="D4" s="5" t="str">
        <f aca="false">IF(Simulateur!$B$41&gt;=C4,"OK Reussi","KO Echec")</f>
        <v>OK Reussi</v>
      </c>
    </row>
    <row r="5" customFormat="false" ht="15" hidden="false" customHeight="true" outlineLevel="0" collapsed="false">
      <c r="A5" s="5" t="n">
        <v>2</v>
      </c>
      <c r="B5" s="5" t="s">
        <v>193</v>
      </c>
      <c r="C5" s="6" t="n">
        <v>300</v>
      </c>
      <c r="D5" s="5" t="str">
        <f aca="false">IF(Simulateur!$B$41&gt;=C5,"OK Reussi","KO Echec")</f>
        <v>OK Reussi</v>
      </c>
    </row>
    <row r="6" customFormat="false" ht="15" hidden="false" customHeight="true" outlineLevel="0" collapsed="false">
      <c r="A6" s="5" t="n">
        <v>2</v>
      </c>
      <c r="B6" s="5" t="s">
        <v>194</v>
      </c>
      <c r="C6" s="6" t="n">
        <v>450</v>
      </c>
      <c r="D6" s="5" t="str">
        <f aca="false">IF(Simulateur!$B$41&gt;=C6,"OK Reussi","KO Echec")</f>
        <v>OK Reussi</v>
      </c>
    </row>
    <row r="7" customFormat="false" ht="15" hidden="false" customHeight="true" outlineLevel="0" collapsed="false">
      <c r="A7" s="5" t="n">
        <v>2</v>
      </c>
      <c r="B7" s="5" t="s">
        <v>195</v>
      </c>
      <c r="C7" s="6" t="n">
        <v>900</v>
      </c>
      <c r="D7" s="5" t="str">
        <f aca="false">IF(Simulateur!$B$41&gt;=C7,"OK Reussi","KO Echec")</f>
        <v>OK Reussi</v>
      </c>
    </row>
    <row r="8" customFormat="false" ht="15" hidden="false" customHeight="true" outlineLevel="0" collapsed="false">
      <c r="A8" s="5" t="n">
        <v>3</v>
      </c>
      <c r="B8" s="5" t="s">
        <v>193</v>
      </c>
      <c r="C8" s="6" t="n">
        <v>800</v>
      </c>
      <c r="D8" s="5" t="str">
        <f aca="false">IF(Simulateur!$B$41&gt;=C8,"OK Reussi","KO Echec")</f>
        <v>OK Reussi</v>
      </c>
    </row>
    <row r="9" customFormat="false" ht="15" hidden="false" customHeight="true" outlineLevel="0" collapsed="false">
      <c r="A9" s="5" t="n">
        <v>3</v>
      </c>
      <c r="B9" s="5" t="s">
        <v>194</v>
      </c>
      <c r="C9" s="6" t="n">
        <v>1200</v>
      </c>
      <c r="D9" s="5" t="str">
        <f aca="false">IF(Simulateur!$B$41&gt;=C9,"OK Reussi","KO Echec")</f>
        <v>OK Reussi</v>
      </c>
    </row>
    <row r="10" customFormat="false" ht="15" hidden="false" customHeight="true" outlineLevel="0" collapsed="false">
      <c r="A10" s="5" t="n">
        <v>3</v>
      </c>
      <c r="B10" s="5" t="s">
        <v>195</v>
      </c>
      <c r="C10" s="6" t="n">
        <v>2400</v>
      </c>
      <c r="D10" s="5" t="str">
        <f aca="false">IF(Simulateur!$B$41&gt;=C10,"OK Reussi","KO Echec")</f>
        <v>KO Echec</v>
      </c>
    </row>
    <row r="11" customFormat="false" ht="15" hidden="false" customHeight="true" outlineLevel="0" collapsed="false">
      <c r="A11" s="5" t="n">
        <v>4</v>
      </c>
      <c r="B11" s="5" t="s">
        <v>193</v>
      </c>
      <c r="C11" s="6" t="n">
        <v>2000</v>
      </c>
      <c r="D11" s="5" t="str">
        <f aca="false">IF(Simulateur!$B$41&gt;=C11,"OK Reussi","KO Echec")</f>
        <v>OK Reussi</v>
      </c>
    </row>
    <row r="12" customFormat="false" ht="15" hidden="false" customHeight="true" outlineLevel="0" collapsed="false">
      <c r="A12" s="5" t="n">
        <v>4</v>
      </c>
      <c r="B12" s="5" t="s">
        <v>194</v>
      </c>
      <c r="C12" s="6" t="n">
        <v>3000</v>
      </c>
      <c r="D12" s="5" t="str">
        <f aca="false">IF(Simulateur!$B$41&gt;=C12,"OK Reussi","KO Echec")</f>
        <v>KO Echec</v>
      </c>
    </row>
    <row r="13" customFormat="false" ht="15" hidden="false" customHeight="true" outlineLevel="0" collapsed="false">
      <c r="A13" s="5" t="n">
        <v>4</v>
      </c>
      <c r="B13" s="5" t="s">
        <v>195</v>
      </c>
      <c r="C13" s="6" t="n">
        <v>6000</v>
      </c>
      <c r="D13" s="5" t="str">
        <f aca="false">IF(Simulateur!$B$41&gt;=C13,"OK Reussi","KO Echec")</f>
        <v>KO Echec</v>
      </c>
    </row>
    <row r="14" customFormat="false" ht="15" hidden="false" customHeight="true" outlineLevel="0" collapsed="false">
      <c r="A14" s="5" t="n">
        <v>5</v>
      </c>
      <c r="B14" s="5" t="s">
        <v>193</v>
      </c>
      <c r="C14" s="6" t="n">
        <v>5000</v>
      </c>
      <c r="D14" s="5" t="str">
        <f aca="false">IF(Simulateur!$B$41&gt;=C14,"OK Reussi","KO Echec")</f>
        <v>KO Echec</v>
      </c>
    </row>
    <row r="15" customFormat="false" ht="15" hidden="false" customHeight="true" outlineLevel="0" collapsed="false">
      <c r="A15" s="5" t="n">
        <v>5</v>
      </c>
      <c r="B15" s="5" t="s">
        <v>194</v>
      </c>
      <c r="C15" s="6" t="n">
        <v>7500</v>
      </c>
      <c r="D15" s="5" t="str">
        <f aca="false">IF(Simulateur!$B$41&gt;=C15,"OK Reussi","KO Echec")</f>
        <v>KO Echec</v>
      </c>
    </row>
    <row r="16" customFormat="false" ht="15" hidden="false" customHeight="true" outlineLevel="0" collapsed="false">
      <c r="A16" s="5" t="n">
        <v>5</v>
      </c>
      <c r="B16" s="5" t="s">
        <v>195</v>
      </c>
      <c r="C16" s="6" t="n">
        <v>15000</v>
      </c>
      <c r="D16" s="5" t="str">
        <f aca="false">IF(Simulateur!$B$41&gt;=C16,"OK Reussi","KO Echec")</f>
        <v>KO Echec</v>
      </c>
    </row>
    <row r="17" customFormat="false" ht="15" hidden="false" customHeight="true" outlineLevel="0" collapsed="false">
      <c r="A17" s="5" t="n">
        <v>6</v>
      </c>
      <c r="B17" s="5" t="s">
        <v>193</v>
      </c>
      <c r="C17" s="6" t="n">
        <v>11000</v>
      </c>
      <c r="D17" s="5" t="str">
        <f aca="false">IF(Simulateur!$B$41&gt;=C17,"OK Reussi","KO Echec")</f>
        <v>KO Echec</v>
      </c>
    </row>
    <row r="18" customFormat="false" ht="15" hidden="false" customHeight="true" outlineLevel="0" collapsed="false">
      <c r="A18" s="5" t="n">
        <v>6</v>
      </c>
      <c r="B18" s="5" t="s">
        <v>194</v>
      </c>
      <c r="C18" s="6" t="n">
        <v>16500</v>
      </c>
      <c r="D18" s="5" t="str">
        <f aca="false">IF(Simulateur!$B$41&gt;=C18,"OK Reussi","KO Echec")</f>
        <v>KO Echec</v>
      </c>
    </row>
    <row r="19" customFormat="false" ht="15" hidden="false" customHeight="true" outlineLevel="0" collapsed="false">
      <c r="A19" s="5" t="n">
        <v>6</v>
      </c>
      <c r="B19" s="5" t="s">
        <v>195</v>
      </c>
      <c r="C19" s="6" t="n">
        <v>33000</v>
      </c>
      <c r="D19" s="5" t="str">
        <f aca="false">IF(Simulateur!$B$41&gt;=C19,"OK Reussi","KO Echec")</f>
        <v>KO Echec</v>
      </c>
    </row>
    <row r="20" customFormat="false" ht="15" hidden="false" customHeight="true" outlineLevel="0" collapsed="false">
      <c r="A20" s="5" t="n">
        <v>7</v>
      </c>
      <c r="B20" s="5" t="s">
        <v>193</v>
      </c>
      <c r="C20" s="6" t="n">
        <v>20000</v>
      </c>
      <c r="D20" s="5" t="str">
        <f aca="false">IF(Simulateur!$B$41&gt;=C20,"OK Reussi","KO Echec")</f>
        <v>KO Echec</v>
      </c>
    </row>
    <row r="21" customFormat="false" ht="15" hidden="false" customHeight="true" outlineLevel="0" collapsed="false">
      <c r="A21" s="5" t="n">
        <v>7</v>
      </c>
      <c r="B21" s="5" t="s">
        <v>194</v>
      </c>
      <c r="C21" s="6" t="n">
        <v>30000</v>
      </c>
      <c r="D21" s="5" t="str">
        <f aca="false">IF(Simulateur!$B$41&gt;=C21,"OK Reussi","KO Echec")</f>
        <v>KO Echec</v>
      </c>
    </row>
    <row r="22" customFormat="false" ht="15" hidden="false" customHeight="true" outlineLevel="0" collapsed="false">
      <c r="A22" s="5" t="n">
        <v>7</v>
      </c>
      <c r="B22" s="5" t="s">
        <v>195</v>
      </c>
      <c r="C22" s="6" t="n">
        <v>60000</v>
      </c>
      <c r="D22" s="5" t="str">
        <f aca="false">IF(Simulateur!$B$41&gt;=C22,"OK Reussi","KO Echec")</f>
        <v>KO Echec</v>
      </c>
    </row>
    <row r="23" customFormat="false" ht="15" hidden="false" customHeight="true" outlineLevel="0" collapsed="false">
      <c r="A23" s="5" t="n">
        <v>8</v>
      </c>
      <c r="B23" s="5" t="s">
        <v>193</v>
      </c>
      <c r="C23" s="6" t="n">
        <v>35000</v>
      </c>
      <c r="D23" s="5" t="str">
        <f aca="false">IF(Simulateur!$B$41&gt;=C23,"OK Reussi","KO Echec")</f>
        <v>KO Echec</v>
      </c>
    </row>
    <row r="24" customFormat="false" ht="15" hidden="false" customHeight="true" outlineLevel="0" collapsed="false">
      <c r="A24" s="5" t="n">
        <v>8</v>
      </c>
      <c r="B24" s="5" t="s">
        <v>194</v>
      </c>
      <c r="C24" s="6" t="n">
        <v>52000</v>
      </c>
      <c r="D24" s="5" t="str">
        <f aca="false">IF(Simulateur!$B$41&gt;=C24,"OK Reussi","KO Echec")</f>
        <v>KO Echec</v>
      </c>
    </row>
    <row r="25" customFormat="false" ht="15" hidden="false" customHeight="true" outlineLevel="0" collapsed="false">
      <c r="A25" s="5" t="n">
        <v>8</v>
      </c>
      <c r="B25" s="5" t="s">
        <v>195</v>
      </c>
      <c r="C25" s="6" t="n">
        <v>105000</v>
      </c>
      <c r="D25" s="5" t="str">
        <f aca="false">IF(Simulateur!$B$41&gt;=C25,"OK Reussi","KO Echec")</f>
        <v>KO Echec</v>
      </c>
    </row>
    <row r="27" customFormat="false" ht="15" hidden="false" customHeight="true" outlineLevel="0" collapsed="false">
      <c r="A27" s="18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39.55" hidden="false" customHeight="false" outlineLevel="0" collapsed="false">
      <c r="A1" s="4" t="s">
        <v>197</v>
      </c>
      <c r="B1" s="4" t="s">
        <v>198</v>
      </c>
      <c r="C1" s="4" t="s">
        <v>199</v>
      </c>
      <c r="D1" s="4" t="s">
        <v>200</v>
      </c>
      <c r="E1" s="4" t="s">
        <v>201</v>
      </c>
      <c r="F1" s="4" t="s">
        <v>202</v>
      </c>
      <c r="G1" s="4" t="s">
        <v>203</v>
      </c>
      <c r="H1" s="4" t="s">
        <v>204</v>
      </c>
      <c r="I1" s="4" t="s">
        <v>205</v>
      </c>
      <c r="J1" s="4" t="s">
        <v>206</v>
      </c>
    </row>
    <row r="2" customFormat="false" ht="26.85" hidden="false" customHeight="false" outlineLevel="0" collapsed="false">
      <c r="A2" s="19" t="s">
        <v>127</v>
      </c>
      <c r="B2" s="20" t="s">
        <v>207</v>
      </c>
      <c r="C2" s="21" t="n">
        <v>10</v>
      </c>
      <c r="D2" s="21" t="n">
        <v>2</v>
      </c>
      <c r="E2" s="21" t="n">
        <v>1</v>
      </c>
      <c r="F2" s="21" t="n">
        <v>0.5</v>
      </c>
      <c r="G2" s="21" t="n">
        <v>0</v>
      </c>
      <c r="H2" s="21" t="n">
        <v>0</v>
      </c>
      <c r="I2" s="21" t="n">
        <v>2.5</v>
      </c>
      <c r="J2" s="22" t="n">
        <v>25</v>
      </c>
    </row>
    <row r="3" customFormat="false" ht="26.85" hidden="false" customHeight="false" outlineLevel="0" collapsed="false">
      <c r="A3" s="19" t="s">
        <v>133</v>
      </c>
      <c r="B3" s="20" t="s">
        <v>208</v>
      </c>
      <c r="C3" s="21" t="n">
        <v>30</v>
      </c>
      <c r="D3" s="21" t="n">
        <v>3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3</v>
      </c>
      <c r="J3" s="22" t="n">
        <v>90</v>
      </c>
    </row>
    <row r="4" customFormat="false" ht="26.85" hidden="false" customHeight="false" outlineLevel="0" collapsed="false">
      <c r="A4" s="19" t="s">
        <v>141</v>
      </c>
      <c r="B4" s="20" t="s">
        <v>209</v>
      </c>
      <c r="C4" s="21" t="n">
        <v>40</v>
      </c>
      <c r="D4" s="21" t="n">
        <v>4</v>
      </c>
      <c r="E4" s="21" t="n">
        <v>1</v>
      </c>
      <c r="F4" s="21" t="n">
        <v>0.5</v>
      </c>
      <c r="G4" s="21" t="n">
        <v>0</v>
      </c>
      <c r="H4" s="21" t="n">
        <v>0</v>
      </c>
      <c r="I4" s="21" t="n">
        <v>4.5</v>
      </c>
      <c r="J4" s="22" t="n">
        <v>180</v>
      </c>
    </row>
    <row r="5" customFormat="false" ht="39.55" hidden="false" customHeight="false" outlineLevel="0" collapsed="false">
      <c r="A5" s="19" t="s">
        <v>210</v>
      </c>
      <c r="B5" s="20" t="s">
        <v>211</v>
      </c>
      <c r="C5" s="21" t="n">
        <v>35</v>
      </c>
      <c r="D5" s="21" t="n">
        <v>4</v>
      </c>
      <c r="E5" s="21" t="n">
        <v>6</v>
      </c>
      <c r="F5" s="21" t="n">
        <v>3</v>
      </c>
      <c r="G5" s="21" t="n">
        <v>6</v>
      </c>
      <c r="H5" s="21" t="n">
        <v>3</v>
      </c>
      <c r="I5" s="21" t="n">
        <v>10</v>
      </c>
      <c r="J5" s="22" t="n">
        <v>350</v>
      </c>
    </row>
    <row r="6" customFormat="false" ht="26.85" hidden="false" customHeight="false" outlineLevel="0" collapsed="false">
      <c r="A6" s="19" t="s">
        <v>136</v>
      </c>
      <c r="B6" s="20" t="s">
        <v>212</v>
      </c>
      <c r="C6" s="21" t="n">
        <v>30</v>
      </c>
      <c r="D6" s="21" t="n">
        <v>4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4</v>
      </c>
      <c r="J6" s="22" t="n">
        <v>120</v>
      </c>
    </row>
    <row r="7" customFormat="false" ht="26.85" hidden="false" customHeight="false" outlineLevel="0" collapsed="false">
      <c r="A7" s="19" t="s">
        <v>144</v>
      </c>
      <c r="B7" s="20" t="s">
        <v>213</v>
      </c>
      <c r="C7" s="21" t="n">
        <v>60</v>
      </c>
      <c r="D7" s="21" t="n">
        <v>7</v>
      </c>
      <c r="E7" s="21" t="n">
        <v>1</v>
      </c>
      <c r="F7" s="21" t="n">
        <v>0.5</v>
      </c>
      <c r="G7" s="21" t="n">
        <v>0</v>
      </c>
      <c r="H7" s="21" t="n">
        <v>0</v>
      </c>
      <c r="I7" s="21" t="n">
        <v>7.5</v>
      </c>
      <c r="J7" s="22" t="n">
        <v>450</v>
      </c>
    </row>
    <row r="8" customFormat="false" ht="39.55" hidden="false" customHeight="false" outlineLevel="0" collapsed="false">
      <c r="A8" s="19" t="s">
        <v>147</v>
      </c>
      <c r="B8" s="20" t="s">
        <v>214</v>
      </c>
      <c r="C8" s="21" t="n">
        <v>80</v>
      </c>
      <c r="D8" s="21" t="n">
        <v>9</v>
      </c>
      <c r="E8" s="21" t="n">
        <v>2</v>
      </c>
      <c r="F8" s="21" t="n">
        <v>1</v>
      </c>
      <c r="G8" s="21" t="n">
        <v>0</v>
      </c>
      <c r="H8" s="21" t="n">
        <v>0</v>
      </c>
      <c r="I8" s="21" t="n">
        <v>10</v>
      </c>
      <c r="J8" s="22" t="n">
        <v>800</v>
      </c>
    </row>
    <row r="9" customFormat="false" ht="26.85" hidden="false" customHeight="false" outlineLevel="0" collapsed="false">
      <c r="A9" s="19" t="s">
        <v>150</v>
      </c>
      <c r="B9" s="20" t="s">
        <v>215</v>
      </c>
      <c r="C9" s="21" t="n">
        <v>100</v>
      </c>
      <c r="D9" s="21" t="n">
        <v>8</v>
      </c>
      <c r="E9" s="21" t="n">
        <v>3</v>
      </c>
      <c r="F9" s="21" t="n">
        <v>1.5</v>
      </c>
      <c r="G9" s="21" t="n">
        <v>3</v>
      </c>
      <c r="H9" s="21" t="n">
        <v>1.5</v>
      </c>
      <c r="I9" s="21" t="n">
        <v>11</v>
      </c>
      <c r="J9" s="22" t="n">
        <v>1100</v>
      </c>
    </row>
    <row r="10" customFormat="false" ht="26.85" hidden="false" customHeight="false" outlineLevel="0" collapsed="false">
      <c r="A10" s="19" t="s">
        <v>153</v>
      </c>
      <c r="B10" s="20" t="s">
        <v>216</v>
      </c>
      <c r="C10" s="21" t="n">
        <v>160</v>
      </c>
      <c r="D10" s="21" t="n">
        <v>12</v>
      </c>
      <c r="E10" s="21" t="n">
        <v>1</v>
      </c>
      <c r="F10" s="21" t="n">
        <v>0.5</v>
      </c>
      <c r="G10" s="21" t="n">
        <v>1</v>
      </c>
      <c r="H10" s="21" t="n">
        <v>0.5</v>
      </c>
      <c r="I10" s="21" t="n">
        <v>13</v>
      </c>
      <c r="J10" s="22" t="n">
        <v>2080</v>
      </c>
    </row>
    <row r="12" customFormat="false" ht="26.85" hidden="false" customHeight="true" outlineLevel="0" collapsed="false">
      <c r="A12" s="23" t="s">
        <v>217</v>
      </c>
      <c r="B12" s="23"/>
      <c r="C12" s="23"/>
      <c r="D12" s="23"/>
      <c r="E12" s="23"/>
      <c r="F12" s="23"/>
      <c r="G12" s="23"/>
      <c r="H12" s="23"/>
      <c r="I12" s="23"/>
      <c r="J12" s="23"/>
    </row>
  </sheetData>
  <mergeCells count="1"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2026-08-11T04:34:15Z</dcterms:created>
  <dc:creator>openpyxl</dc:creator>
  <dc:description/>
  <dc:language>en-US</dc:language>
  <cp:lastModifiedBy/>
  <dcterms:modified xsi:type="dcterms:W3CDTF">2026-08-11T04:39:18Z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